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USINESSBARU\DATA HARGA MATERIAL\"/>
    </mc:Choice>
  </mc:AlternateContent>
  <xr:revisionPtr revIDLastSave="0" documentId="13_ncr:1_{E7A1F138-1F0D-4FF2-9F60-97E14C247940}" xr6:coauthVersionLast="47" xr6:coauthVersionMax="47" xr10:uidLastSave="{00000000-0000-0000-0000-000000000000}"/>
  <bookViews>
    <workbookView xWindow="57480" yWindow="-120" windowWidth="29040" windowHeight="15840" tabRatio="933" activeTab="2" xr2:uid="{00000000-000D-0000-FFFF-FFFF00000000}"/>
  </bookViews>
  <sheets>
    <sheet name="Hesin" sheetId="23" r:id="rId1"/>
    <sheet name="Aluminium Materials" sheetId="21" r:id="rId2"/>
    <sheet name="Renovation Materials" sheetId="2" r:id="rId3"/>
    <sheet name="Steel Materials" sheetId="13" r:id="rId4"/>
    <sheet name="Electrical &amp; Accessories" sheetId="5" r:id="rId5"/>
    <sheet name="Doors, Windows &amp; Accessories" sheetId="7" r:id="rId6"/>
    <sheet name="110 Material Surau Al-Ihsan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3" i="9"/>
  <c r="F101" i="9" l="1"/>
</calcChain>
</file>

<file path=xl/sharedStrings.xml><?xml version="1.0" encoding="utf-8"?>
<sst xmlns="http://schemas.openxmlformats.org/spreadsheetml/2006/main" count="1556" uniqueCount="611">
  <si>
    <t>No</t>
  </si>
  <si>
    <t>Qty</t>
  </si>
  <si>
    <t>UOM</t>
  </si>
  <si>
    <t>Unit Price (RM)</t>
  </si>
  <si>
    <t>Total (RM)</t>
  </si>
  <si>
    <t>Quotation No</t>
  </si>
  <si>
    <t>Date</t>
  </si>
  <si>
    <t>unit</t>
  </si>
  <si>
    <t>QT-004250</t>
  </si>
  <si>
    <t>set</t>
  </si>
  <si>
    <t>m</t>
  </si>
  <si>
    <t>pcs</t>
  </si>
  <si>
    <t>bag</t>
  </si>
  <si>
    <t>pallet</t>
  </si>
  <si>
    <t>sheet</t>
  </si>
  <si>
    <t>pc</t>
  </si>
  <si>
    <t>box</t>
  </si>
  <si>
    <t>IN41687</t>
  </si>
  <si>
    <t>CS63336</t>
  </si>
  <si>
    <t>IN41680</t>
  </si>
  <si>
    <t>IN41686</t>
  </si>
  <si>
    <t>Description</t>
  </si>
  <si>
    <t>Price/Unit (RM)</t>
  </si>
  <si>
    <t>Trip</t>
  </si>
  <si>
    <t>Lot</t>
  </si>
  <si>
    <t>Roll</t>
  </si>
  <si>
    <t>Sht</t>
  </si>
  <si>
    <t>GI wire 20#</t>
  </si>
  <si>
    <t>Spacer/chair plastik (±800 pcs/beg)</t>
  </si>
  <si>
    <t>Bag</t>
  </si>
  <si>
    <t>Sheet</t>
  </si>
  <si>
    <t>Curing compound Sika Antisol E 20 L</t>
  </si>
  <si>
    <t>Pail</t>
  </si>
  <si>
    <t>Pcs</t>
  </si>
  <si>
    <t>PU metaldeck 0.47 mm G24/FR (610 mm), 624 ft-run</t>
  </si>
  <si>
    <t>Ft-run</t>
  </si>
  <si>
    <t>Pc</t>
  </si>
  <si>
    <t>Skru bumbung + washer</t>
  </si>
  <si>
    <t>Box</t>
  </si>
  <si>
    <t>Sealant silikon</t>
  </si>
  <si>
    <t>Tube</t>
  </si>
  <si>
    <t>Aksesori gutter (Bracket 14 + Outlet 1 + Stop-end 2)</t>
  </si>
  <si>
    <t>Unit</t>
  </si>
  <si>
    <t>Batang</t>
  </si>
  <si>
    <t>Strap/clip downpipe</t>
  </si>
  <si>
    <t>Batten 121 0.48 mm</t>
  </si>
  <si>
    <t>ASG Stopping 18 kg</t>
  </si>
  <si>
    <t>Cat siling Nippon Super Matex 18 L</t>
  </si>
  <si>
    <t>Tin</t>
  </si>
  <si>
    <t>Hanger rod + fastener (6 ft/set, siap skru+washer)</t>
  </si>
  <si>
    <t>Set</t>
  </si>
  <si>
    <t>Soket 13A Schneider (single)</t>
  </si>
  <si>
    <t>DB box 3-phase (45-way, full set)</t>
  </si>
  <si>
    <t>Kabel 2.5 mm² Mega (100 m/roll)</t>
  </si>
  <si>
    <t>Kabel 1.5 mm² Mega (100 m/roll)</t>
  </si>
  <si>
    <t>PVC conduit 25 mm (2.8 m/batang)</t>
  </si>
  <si>
    <t>PVC conceal box 1-gang</t>
  </si>
  <si>
    <t>Switch 1-gang Schneider</t>
  </si>
  <si>
    <t>Dimmer Schneider</t>
  </si>
  <si>
    <t>Outdoor wall light IP65 (motion)</t>
  </si>
  <si>
    <t>Earth clamp U-bolt UC301</t>
  </si>
  <si>
    <t>Earth cable G/Y 16 mm² (anggar 15 m)</t>
  </si>
  <si>
    <t>Meter</t>
  </si>
  <si>
    <t>SS ring Q058</t>
  </si>
  <si>
    <t>SS clamp Q099</t>
  </si>
  <si>
    <t>SS dome cap S030</t>
  </si>
  <si>
    <t>Bar</t>
  </si>
  <si>
    <t>Nails 2" – formwork</t>
  </si>
  <si>
    <t>Kg</t>
  </si>
  <si>
    <t>Nails 3" – formwork</t>
  </si>
  <si>
    <t>Sqft</t>
  </si>
  <si>
    <t>Length</t>
  </si>
  <si>
    <t>Cover/Grating untuk U-Drain (per 1 m)</t>
  </si>
  <si>
    <t>Stair nosing aluminium anti-slip</t>
  </si>
  <si>
    <t>Aluminium angle/L-trim 10 mm</t>
  </si>
  <si>
    <t>Primer / sealer 5 L</t>
  </si>
  <si>
    <t>Formwork release oil 5 L</t>
  </si>
  <si>
    <t>sgft</t>
  </si>
  <si>
    <t>VERMAX POLY EMBOSSED (CLEAR) 5MM (UNTUK PINTU / TINGKAP)</t>
  </si>
  <si>
    <t>VERMAX POLY PLAIN (CLEAR) 5MM (UNTUK PINTU / TINGKAP)</t>
  </si>
  <si>
    <t>VERMAX HIGH QUALITY POLY PLAIN 4MM (UNTUK PINTU / TINGKAP)</t>
  </si>
  <si>
    <t>VERMAX HIGH QUALITY POLY EMBOSSED 3MM (UNTUK PINTU / TINGKAP)</t>
  </si>
  <si>
    <t>VERMAX HIGH QUALITY POLY PLAIN 3MM (UNTUK PINTU / TINGKAP)</t>
  </si>
  <si>
    <t>3MM POLY PLAIN ROOF/AWNING</t>
  </si>
  <si>
    <t>3MM POLY EMBOSSED ROOF/AWNING</t>
  </si>
  <si>
    <t>ARENSI GUTTER (GREY F300) 5.8M</t>
  </si>
  <si>
    <t>ARENSI GUTTER (GREY F300) PVC EX. BRACKET</t>
  </si>
  <si>
    <t>ARENSI GUTTER (GREY F300) SPOUTHEAD 4"</t>
  </si>
  <si>
    <t>ARENSI GUTTER (GREY F300) END CAP</t>
  </si>
  <si>
    <t>ARENSI GUTTER (F300) CHROME BRACKET</t>
  </si>
  <si>
    <t>ARENSI GUTTER (GREY F300) CORNER 'OUT'</t>
  </si>
  <si>
    <t>UPVC PIPE 110MM(4") 5.8M</t>
  </si>
  <si>
    <t>A7 BRC (BS) 2.2M X 6M</t>
  </si>
  <si>
    <t>Butyl / flashing tape 50 mm x 5 m</t>
  </si>
  <si>
    <t>Plywood 9 mm 4'x8' (formwork tepi + soffit + tangga)</t>
  </si>
  <si>
    <t>Flashing #30 12'x8'</t>
  </si>
  <si>
    <t>Downpipe 110/100 mm x 5.8 m</t>
  </si>
  <si>
    <t>Gutter "Mendung" utama (8 ft x 5 batang = 40 ft)</t>
  </si>
  <si>
    <t>Plaster board 4'x6' (top-up)</t>
  </si>
  <si>
    <t>GI Channel 35x75x0.72 (6 m)</t>
  </si>
  <si>
    <t>GI Batten 32x40x0.42 (6 m)</t>
  </si>
  <si>
    <t>Metal furring 10x30 mm x 12'</t>
  </si>
  <si>
    <t>Drywall screw 6x1" (1,000 pcs)</t>
  </si>
  <si>
    <t>Wall angle (zinc bar 12')</t>
  </si>
  <si>
    <t>LED downlight 4" Philips 12 W</t>
  </si>
  <si>
    <t>Kipas siling KDK (remote, 56")</t>
  </si>
  <si>
    <t>PVC trunking (3/4"/1"/1-1/2"x3/4"/1"x2"/2"/2"x4")</t>
  </si>
  <si>
    <t>Earthing rod 16 mm x 0.5 m</t>
  </si>
  <si>
    <t>SS round tube utama 1-1/2" x 1.2 mm</t>
  </si>
  <si>
    <t>SS round tube sekunder 5/8" x 1.2 mm</t>
  </si>
  <si>
    <t>Base plate SS (cadang 150x150x10 mm)</t>
  </si>
  <si>
    <t>Chemical anchor (SS railing + Roman tiang starter)</t>
  </si>
  <si>
    <t>Tiang Roman RP11 (10" x 8')</t>
  </si>
  <si>
    <t>Cover blocks (beam+Roman cage)</t>
  </si>
  <si>
    <t>Brass garden bib tap 1/2"</t>
  </si>
  <si>
    <t>Brass stop cock 1/2"</t>
  </si>
  <si>
    <t>PVC pipe Class 6 (1/2", 5.8 m/length)</t>
  </si>
  <si>
    <t>PVC Tee 1/2"</t>
  </si>
  <si>
    <t>PVC P/T socket 1/2" (brass thread)</t>
  </si>
  <si>
    <t>Precast U-Drain 300x300 x 1 m</t>
  </si>
  <si>
    <t>Handrail SS304 OD38 mm, 1.2 m with brackets</t>
  </si>
  <si>
    <t>Stainless screws #8x1" (100 pcs/box)</t>
  </si>
  <si>
    <t>GRAND TOTAL</t>
  </si>
  <si>
    <t>BRC A7 (6.0 m x 2.2 m, 13.2 m²/pc)</t>
  </si>
  <si>
    <t>Timber 1"x2"x10' – walers/studs/bracing</t>
  </si>
  <si>
    <t>Rebar Y10 (12 m/bar) – main bars</t>
  </si>
  <si>
    <t>Simen</t>
  </si>
  <si>
    <t>Pasir kasar</t>
  </si>
  <si>
    <t>Batu 3/4"</t>
  </si>
  <si>
    <t>Pasir halus</t>
  </si>
  <si>
    <t>DPM PE 0.20 mm</t>
  </si>
  <si>
    <t>Tambun tanah 10-wheel</t>
  </si>
  <si>
    <t>Tiles 300x300</t>
  </si>
  <si>
    <t>Tiles 300x600</t>
  </si>
  <si>
    <t xml:space="preserve">SikaGrout Pumpable Shrinkage Compensated Cementitious Grout </t>
  </si>
  <si>
    <t>Skim coat halus 25 kg</t>
  </si>
  <si>
    <t xml:space="preserve">Rebar R6 (12 m/bar) </t>
  </si>
  <si>
    <t>Rebar Y12 (12 m/bar)</t>
  </si>
  <si>
    <t>Batu Kasaran / Crusher Run 10-wheel</t>
  </si>
  <si>
    <t>Cement bricks 4" × 8½"</t>
  </si>
  <si>
    <t>Portland cement 50 kg bag</t>
  </si>
  <si>
    <t>Fine sand 20 kg bag (pallet/60 bag)</t>
  </si>
  <si>
    <t>Coarse sand 20 kg bag (pallet/60 bag)</t>
  </si>
  <si>
    <t>Tile adhesive Worpro 25 kg</t>
  </si>
  <si>
    <t>Skim coat fine Sika Wall 192 (white) 25 kg</t>
  </si>
  <si>
    <t>Tile spacer PVC 2 mm</t>
  </si>
  <si>
    <t>Toilet bowl IBORN One Piece IBWC8315-S10''</t>
  </si>
  <si>
    <t>Two way tap + hand bidet SUS304 M90SS Mocha</t>
  </si>
  <si>
    <t>SS Hand bidet set LEON L3304</t>
  </si>
  <si>
    <t>Floor grating SS 4×4"</t>
  </si>
  <si>
    <t>Flexible hose Latina 10"</t>
  </si>
  <si>
    <t>Offset 4" -</t>
  </si>
  <si>
    <t>Basin waste 1¼"</t>
  </si>
  <si>
    <t>Bottle trap PVC 1¼" 32 mm Blue/Green</t>
  </si>
  <si>
    <t>PVC pipe Ø32 mm</t>
  </si>
  <si>
    <t>PVC elbow 90° Ø32 mm</t>
  </si>
  <si>
    <t>PVC tee Ø32 mm</t>
  </si>
  <si>
    <t>PVC reducer socket 32 mm → 25 mm</t>
  </si>
  <si>
    <t>Sanitary &amp; Plumbing</t>
  </si>
  <si>
    <t>Ceiling board PrimaFlex 4×4</t>
  </si>
  <si>
    <t>Metal furring 10×30 mm × 12'</t>
  </si>
  <si>
    <t>Aluminium angle ½" × ½" × 6 m</t>
  </si>
  <si>
    <t>Threaded bar 5/16" × 6 ft</t>
  </si>
  <si>
    <t>Drywall screw 6 × 1" MKG-625 (1000 pcs)</t>
  </si>
  <si>
    <t>Stopping compound ASG A Plus 18 kg</t>
  </si>
  <si>
    <t>Ceiling &amp; Partition</t>
  </si>
  <si>
    <t>Wall finishing</t>
  </si>
  <si>
    <t>Earthwork &amp; Base</t>
  </si>
  <si>
    <t>Formwork &amp; Accessories</t>
  </si>
  <si>
    <t>SHEET</t>
  </si>
  <si>
    <t>Rebar R6 (12 m/bar)</t>
  </si>
  <si>
    <t>SikaGrout Pumpable Shrinkage Compensated Cementitious Grout</t>
  </si>
  <si>
    <t>Concrete &amp; Structural (MS + Structural)</t>
  </si>
  <si>
    <t>PU metaldeck 0.47 mm G24/FR (610 mm)</t>
  </si>
  <si>
    <t>Roofing &amp; Gutter</t>
  </si>
  <si>
    <t>LENGTH</t>
  </si>
  <si>
    <t>PC</t>
  </si>
  <si>
    <t>ARENSI GUTTER (GREY F300) CORNER 'IN'</t>
  </si>
  <si>
    <t>0.47MM TCT GUTTER PRE-PAINTED (COLOUR) SIZE : 18" GIRTH @ 8FT</t>
  </si>
  <si>
    <t>LENGTH (8ft)</t>
  </si>
  <si>
    <t>25MM X 4.5MM THK EXTERNAL BRACKET</t>
  </si>
  <si>
    <t>4" DIA OUTLET</t>
  </si>
  <si>
    <t>END CAP L/R</t>
  </si>
  <si>
    <t>Gutter Systems</t>
  </si>
  <si>
    <t>Aluminium Strip Ceiling (Panel 0.55mm 305/305H-(A) 50mm Std Colour)</t>
  </si>
  <si>
    <t>Mr</t>
  </si>
  <si>
    <t>Aluminium Strip Ceiling (Panel 0.55mm 305/305H-(A) 50mm Woodgrain)</t>
  </si>
  <si>
    <t>Aluminium Strip Ceiling (Panel 0.55mm 305/305H-(A) 50mm Woodgrain T)</t>
  </si>
  <si>
    <t>Aluminium Strip Ceiling (Panel 0.55mm 310/310H-(A) 100mm Std Colour)</t>
  </si>
  <si>
    <t>Aluminium Strip Ceiling (Panel 0.55mm 310/310H-(A) 100mm Woodgrain)</t>
  </si>
  <si>
    <t>Aluminium Strip Ceiling (Panel 0.55mm 310/310H-(A) 100mm Woodgrain T)</t>
  </si>
  <si>
    <t>Aluminium Strip Ceiling (Panel 0.55mm 315/315H-(A) 150mm Std Colour)</t>
  </si>
  <si>
    <t>Aluminium Strip Ceiling (Panel 0.55mm 315/315H-(A) 150mm Woodgrain)</t>
  </si>
  <si>
    <t>Aluminium Strip Ceiling (Panel 0.55mm 315/315H-(A) 150mm Woodgrain T)</t>
  </si>
  <si>
    <t>Aluminium Strip Ceiling (Panel 0.55mm 320/320H-(A) 200mm Std Colour)</t>
  </si>
  <si>
    <t>Aluminium Strip Ceiling (Panel 0.55mm 320/320H-(A) 200mm Woodgrain)</t>
  </si>
  <si>
    <t>Aluminium Strip Ceiling (Panel 0.55mm 320/320H-(A) 200mm Woodgrain T)</t>
  </si>
  <si>
    <t>GI Carrier Rail (MF) 4880mm</t>
  </si>
  <si>
    <t>Aluminium Ceiling Trim (STD) 3660mm</t>
  </si>
  <si>
    <t>Aluminium Ceiling Trim (Woodgrain) 3660mm</t>
  </si>
  <si>
    <t>GI Bracing 2440mm</t>
  </si>
  <si>
    <t>GI Bracing (P/Coated) 2440mm</t>
  </si>
  <si>
    <t>GI Panel Joint (100mm)</t>
  </si>
  <si>
    <t>GI Panel Joint (150mm)</t>
  </si>
  <si>
    <t>GI Panel Joint (200mm)</t>
  </si>
  <si>
    <t>Aluminium Strip Ceiling &amp; Accessories</t>
  </si>
  <si>
    <t>C Purlin 10" x 3" 1.6mm</t>
  </si>
  <si>
    <t>Ft</t>
  </si>
  <si>
    <t>C Purlin 10" x 3" 2.0mm</t>
  </si>
  <si>
    <t>C Purlin 10" x 3" 2.3mm</t>
  </si>
  <si>
    <t>C Purlin 10" x 3" 2.5mm</t>
  </si>
  <si>
    <t>C Purlin 12" x 4" 1.6mm</t>
  </si>
  <si>
    <t>C Purlin 12" x 4" 2.0mm</t>
  </si>
  <si>
    <t>C Purlin 12" x 4" 2.3mm</t>
  </si>
  <si>
    <t>C Purlin 12" x 4" 2.5mm</t>
  </si>
  <si>
    <t>UNIBOND ACP 4MM NORMAL COLOUR</t>
  </si>
  <si>
    <t>UNIBOND ACP 4MM SPECIAL COLOUR</t>
  </si>
  <si>
    <t>MS Hollow 6/8" x 6m x 1.0mm</t>
  </si>
  <si>
    <t>MS Hollow 6/8" x 6m x 1.2mm</t>
  </si>
  <si>
    <t>MS Hollow 1/2" x 1" x 6m x 1.2mm</t>
  </si>
  <si>
    <t>MS Hollow 1" x 6m x 1.0mm</t>
  </si>
  <si>
    <t>MS Hollow 1" x 6m x 1.2mm</t>
  </si>
  <si>
    <t>MS Hollow 1" x 6m x 1.6mm</t>
  </si>
  <si>
    <t>MS Hollow 1" x 6m x 1.9mm</t>
  </si>
  <si>
    <t>MS Hollow 1" x 2" x 6m x 1.0mm</t>
  </si>
  <si>
    <t>MS Hollow 1" x 2" x 6m x 1.2mm</t>
  </si>
  <si>
    <t>MS Hollow 1" x 2" x 6m x 1.6mm</t>
  </si>
  <si>
    <t>MS Hollow 1" x 2" x 6m x 1.9mm</t>
  </si>
  <si>
    <t>MS Hollow 1" x 2" x 6m x 2.3mm</t>
  </si>
  <si>
    <t>MS Hollow 1-1/2" x 6m x 1.2mm</t>
  </si>
  <si>
    <t>MS Hollow 1-1/2" x 6m x 1.6mm</t>
  </si>
  <si>
    <t>MS Hollow 1-1/2" x 6m x 1.9mm</t>
  </si>
  <si>
    <t>MS Hollow 1-1/2" x 2-1/2" x 6m x 1.9mm</t>
  </si>
  <si>
    <t>MS Hollow 1" x 3" x 6m x 1.2mm</t>
  </si>
  <si>
    <t>MS Hollow 1" x 3" x 6m x 1.6mm</t>
  </si>
  <si>
    <t>MS Hollow 1-1/2" x 3" x 6m x 1.2mm</t>
  </si>
  <si>
    <t>MS Hollow 1-1/2" x 3" x 6m x 1.6mm</t>
  </si>
  <si>
    <t>MS Hollow 1-1/2" x 3" x 6m x 1.9mm</t>
  </si>
  <si>
    <t>MS Hollow 2" x 6m x 1.2mm</t>
  </si>
  <si>
    <t>MS Hollow 2" x 6m x 1.6mm</t>
  </si>
  <si>
    <t>MS Hollow 2" x 6m x 1.9mm</t>
  </si>
  <si>
    <t>MS Hollow 2" x 6m x 2.3mm</t>
  </si>
  <si>
    <t>MS Hollow 2" x 3" x 6m x 1.2mm</t>
  </si>
  <si>
    <t>MS Hollow 2" x 3" x 6m x 1.6mm</t>
  </si>
  <si>
    <t>MS Hollow 2" x 3" x 6m x 2.3mm</t>
  </si>
  <si>
    <t>MS Hollow 2" x 3" x 6m x 3.0mm</t>
  </si>
  <si>
    <t>MS Hollow 2" x 4" x 6m x 1.2mm</t>
  </si>
  <si>
    <t>MS Hollow 2" x 4" x 6m x 1.6mm</t>
  </si>
  <si>
    <t>MS Hollow 2" x 4" x 6m x 1.9mm</t>
  </si>
  <si>
    <t>MS Hollow 2" x 4" x 6m x 2.3mm</t>
  </si>
  <si>
    <t>MS Hollow 2" x 5" x 6m x 1.6mm</t>
  </si>
  <si>
    <t>MS Hollow 2" x 5" x 6m x 1.9mm</t>
  </si>
  <si>
    <t>MS Hollow 2" x 5" x 6m x 2.3mm</t>
  </si>
  <si>
    <t>MS Hollow 2" x 5" x 6m x 3.0mm</t>
  </si>
  <si>
    <t>MS Hollow 2" x 6" x 6m x 1.6mm</t>
  </si>
  <si>
    <t>MS Hollow 2" x 6" x 6m x 1.9mm</t>
  </si>
  <si>
    <t>MS Hollow 2" x 6" x 6m x 2.3mm</t>
  </si>
  <si>
    <t>MS Hollow 2" x 6" x 6m x 3.0mm</t>
  </si>
  <si>
    <t>MS Hollow 3" x 3" x 6m x 1.6mm</t>
  </si>
  <si>
    <t>MS Hollow 3" x 4" x 6m x 4.0mm</t>
  </si>
  <si>
    <t>MS Hollow 3" x 5" x 6m x 3.0mm (awning lebih 20ft)</t>
  </si>
  <si>
    <t>MS Hollow 4" x 4" x 6m x 1.6mm</t>
  </si>
  <si>
    <t>MS Hollow 4" x 4" x 6m x 1.9mm</t>
  </si>
  <si>
    <t>MS Hollow 4" x 4" x 6m x 2.3mm</t>
  </si>
  <si>
    <t>MS Hollow 4" x 4" x 6m x 3.0mm</t>
  </si>
  <si>
    <t>Mild Steel Hollow</t>
  </si>
  <si>
    <t>SS Round Tube 6/8" x 6m x 1.2mm</t>
  </si>
  <si>
    <t>SS Round Tube 1" x 6m x 1.2mm</t>
  </si>
  <si>
    <t>SS Round Tube 1-1/2" x 6m x 1.2mm</t>
  </si>
  <si>
    <t>SS Round Tube 2" x 6m x 1.2mm</t>
  </si>
  <si>
    <t>SS Square Hollow 1/2" x 6m x 1.2mm</t>
  </si>
  <si>
    <t>SS Square Hollow 1" x 2" x 6m x 1.2mm</t>
  </si>
  <si>
    <t>SS Square Hollow 2" x 6m x 1.2mm</t>
  </si>
  <si>
    <t>SS Square Hollow 1-6/8" x 3" x 6m x 1.5mm</t>
  </si>
  <si>
    <t>SS Square Hollow 2" x 4" x 6m x 1.5mm</t>
  </si>
  <si>
    <t>MS Flat Bar 6/8" x 6m x 3mm</t>
  </si>
  <si>
    <t>MS Flat Bar 1" x 6m x 3mm</t>
  </si>
  <si>
    <t>MS Flat Bar 2" x 6m x 3mm (T-Bar Skylight Glass Bottom)</t>
  </si>
  <si>
    <t>MS Flat Bar 2" x 6m x 6mm</t>
  </si>
  <si>
    <t>MS Flat Bar 4" x 6m x 3mm (T-Bar Skylight Structure)</t>
  </si>
  <si>
    <t>Mild Steel Flat Bar</t>
  </si>
  <si>
    <t>Mild Steel Angle Bar</t>
  </si>
  <si>
    <t>MS Angle Bar 6/8" x 6m x 3.0mm</t>
  </si>
  <si>
    <t>MS Angle Bar 1" x 6m x 6.0mm</t>
  </si>
  <si>
    <t>MS Angle Bar 1-1/2" x 6m x 3.0mm</t>
  </si>
  <si>
    <t>MS Angle Bar 1-1/2" x 6m x 6.0mm</t>
  </si>
  <si>
    <t>MS Angle Bar 1" x 2" x 6m x 6.0mm</t>
  </si>
  <si>
    <t>Stainless Steel Hollow / Tube</t>
  </si>
  <si>
    <t>ACP / Polycarbonate / Roof Sheets</t>
  </si>
  <si>
    <t>Waterproofing &amp; Sealant</t>
  </si>
  <si>
    <t>Checker Plate 3mm x 4' x 8'</t>
  </si>
  <si>
    <t>Checker Plate 3mm siap potong 10" pijak x 36L (atas &amp; bawah bengkok 1")</t>
  </si>
  <si>
    <t>CR Sheet 0.9mm x 4' x 8'</t>
  </si>
  <si>
    <t>CR Sheet 1.0mm x 4' x 8'</t>
  </si>
  <si>
    <t>CR Sheet 1.2mm x 4' x 8'</t>
  </si>
  <si>
    <t>MS Plate 3mm x 4' x 8'</t>
  </si>
  <si>
    <t>MS Expanded Metal 2015 x 4' x 8' x 2.0mm (9mm x 29mm mesh)</t>
  </si>
  <si>
    <t>MS Expanded Metal BHL 1/2" x 18G x 4' x 8' x 1.2mm (13mm x 30mm mesh)</t>
  </si>
  <si>
    <t>MS Expanded Metal 1520 x 4' x 8' x 1.5mm (16mm x 38mm mesh)</t>
  </si>
  <si>
    <t>MS Expanded Metal 7503 x 4' x 8' x 3.0mm (22mm x 57mm mesh)</t>
  </si>
  <si>
    <t>Checker Plate / CR Sheet / MS Plate / Expanded Metal</t>
  </si>
  <si>
    <t>Sliding Door Lock J6 White</t>
  </si>
  <si>
    <t>Sliding Top Roller MR007N</t>
  </si>
  <si>
    <t>Sliding Door Lock J6 Black</t>
  </si>
  <si>
    <t>Shower Hinge SH04 Wall/Glass (Centre)</t>
  </si>
  <si>
    <t>Prs</t>
  </si>
  <si>
    <t>Shower Glass Handle 712-S</t>
  </si>
  <si>
    <t>Grille Door Handle Lever</t>
  </si>
  <si>
    <t>Sliding Door Lock (Generic)</t>
  </si>
  <si>
    <t>Brass Garden Bib Tap 1/2"</t>
  </si>
  <si>
    <t>Brass Stop Cock 1/2"</t>
  </si>
  <si>
    <t>PVC Pipe Class 6 (1/2", 5.8m/length)</t>
  </si>
  <si>
    <t>PVC P/T Socket 1/2" (Brass Thread)</t>
  </si>
  <si>
    <t>Precast U-Drain 300x300 x 1m</t>
  </si>
  <si>
    <t>Cover/Grating untuk U-Drain (per 1m)</t>
  </si>
  <si>
    <t>Pipe Clip PVC Kontiup 20mm (¾")</t>
  </si>
  <si>
    <t>Pipe Clip PVC Kontiup 25mm (1")</t>
  </si>
  <si>
    <t>Plumbing &amp; Drainage</t>
  </si>
  <si>
    <t>Lime Plaster A1 Kapur Air 10kg</t>
  </si>
  <si>
    <t>Skim Coat Coarse Sika Wall 191 (White) 25kg</t>
  </si>
  <si>
    <t>Skim Coat Fine Sika Wall 192 (White) 25kg</t>
  </si>
  <si>
    <t>Skim Coat Halus 25kg</t>
  </si>
  <si>
    <t>Wall Sealer Nippon Acrylic 5170 20L</t>
  </si>
  <si>
    <t>Wall Sealer Nippon Acrylic 5170 5L</t>
  </si>
  <si>
    <t>Wall Paint (White) Nippon Super Matex 7L</t>
  </si>
  <si>
    <t>Cat Siling Nippon Super Matex 18L</t>
  </si>
  <si>
    <t>Stair Nosing Aluminium Anti-Slip</t>
  </si>
  <si>
    <t>Primer / Sealer 5L</t>
  </si>
  <si>
    <t>Black Oxide Paint 18L (Hesin Hardware Trading Sdn. Bhd.)</t>
  </si>
  <si>
    <t>General Finishing &amp; Coating</t>
  </si>
  <si>
    <t>Fiberglass Tape 4" x 45m HITZ</t>
  </si>
  <si>
    <t>Waterproof Soft Tape 2" x 5m STD</t>
  </si>
  <si>
    <t>Waterproof Compound Sika Top Seal 107 (A+B) 25kg</t>
  </si>
  <si>
    <t>Silicone Sealant PS600 Pro-Spec Neutral</t>
  </si>
  <si>
    <t>PTFE White Tape ISANO Blue 15m</t>
  </si>
  <si>
    <t>Xtraseal MC800 Acrylic Sealant White 2.00 CIN 100.800</t>
  </si>
  <si>
    <t>Awning OCI Silicone / Bottle</t>
  </si>
  <si>
    <t>Bottle</t>
  </si>
  <si>
    <t>Awning Post Cover</t>
  </si>
  <si>
    <t>Skylight U Channel</t>
  </si>
  <si>
    <t>Skylight Capping</t>
  </si>
  <si>
    <t>Skylight Angle 1" x 1"</t>
  </si>
  <si>
    <t>Skylight Angle 1-1/2" x 1-1/2"</t>
  </si>
  <si>
    <t>Skylight Rubber (153m / Roll)</t>
  </si>
  <si>
    <t>Awning / Skylight Accessories &amp; Consumables</t>
  </si>
  <si>
    <t>18mm Vietnam Commercial Gred (Flooring Use) Plywood</t>
  </si>
  <si>
    <t>Light Switch UMS Cosimo V301</t>
  </si>
  <si>
    <t>Electrical Cable 2.5 mm² Black</t>
  </si>
  <si>
    <t>M</t>
  </si>
  <si>
    <t>Enclosure Box CCTV 6×8×3</t>
  </si>
  <si>
    <t>PVC Casing 2" × 4"</t>
  </si>
  <si>
    <t>Pipe Clip PVC Kontiup 20 mm (¾")</t>
  </si>
  <si>
    <t>Pipe Clip PVC Kontiup 25 mm (1")</t>
  </si>
  <si>
    <t>LGP-5 Curved Jaw Locking Pliers</t>
  </si>
  <si>
    <t>TC30 Toyo Glass Cutter</t>
  </si>
  <si>
    <t>AFG1002 Nylon Floor Guide for SD 790</t>
  </si>
  <si>
    <t>Glass Clip GC08 12mm</t>
  </si>
  <si>
    <t>STL69-799 Stanley Riverter (Heavy)</t>
  </si>
  <si>
    <t xml:space="preserve">        Masonry &amp; Tiling</t>
  </si>
  <si>
    <t xml:space="preserve">        Septic Tank &amp; Ceiling</t>
  </si>
  <si>
    <t>Deluxe PE Septic Tank 1200L</t>
  </si>
  <si>
    <t>Nos</t>
  </si>
  <si>
    <t>Deluxe PE Septic Tank 1500L</t>
  </si>
  <si>
    <t>Deluxe PE Septic Tank 1500V</t>
  </si>
  <si>
    <t>Deluxe PE Septic Tank 1800V</t>
  </si>
  <si>
    <t>Deluxe PE Septic Tank 2200L</t>
  </si>
  <si>
    <t>Deluxe PE Septic Tank 2700L</t>
  </si>
  <si>
    <t>Deluxe PE Septic Tank 3200L</t>
  </si>
  <si>
    <t>Deluxe PE Septic Tank 3700L</t>
  </si>
  <si>
    <t>Deluxe PE Septic Tank 4900L</t>
  </si>
  <si>
    <t>Deluxe PE Septic Tank 5500L</t>
  </si>
  <si>
    <t>Ceiling Board</t>
  </si>
  <si>
    <t>L/S</t>
  </si>
  <si>
    <t>Metal Stud</t>
  </si>
  <si>
    <t xml:space="preserve">        Electrical </t>
  </si>
  <si>
    <t xml:space="preserve">        Electrical Works (Exposed)</t>
  </si>
  <si>
    <t>Pendawaian 1.5mm Switch Lampu / Exhaust Fan (1st Switch)</t>
  </si>
  <si>
    <t>Pendawaian 1.5mm Switch Lampu / Exhaust Fan (Looping)</t>
  </si>
  <si>
    <t>Pendawaian 1.5mm Switch Lampu / Exhaust Fan (Looping) 1m &gt; /mtr</t>
  </si>
  <si>
    <t>Pendawaian 1.5mm Lampu / Exhaust Fan (Looping)</t>
  </si>
  <si>
    <t>Pendawaian 1.5mm Kipas</t>
  </si>
  <si>
    <t>Pendawaian 2.5mm 3 Pin Plug Point</t>
  </si>
  <si>
    <t>Pendawaian 2.5mm 3 Pin Plug Point (Looping)</t>
  </si>
  <si>
    <t>Pendawaian 2.5mm 3 Pin Plug Point (Looping) 1m &gt; /mtr</t>
  </si>
  <si>
    <t>Pendawaian 2.5mm Water Heater</t>
  </si>
  <si>
    <t>Pendawaian 2.5mm Air Cond 1.0–3.0HP</t>
  </si>
  <si>
    <t xml:space="preserve">        Electrical Works (Conceal)</t>
  </si>
  <si>
    <t>Pendawaian D/B 12Way</t>
  </si>
  <si>
    <t>Pendawaian D/B 16Way</t>
  </si>
  <si>
    <t>Pendawaian D/B 30Way</t>
  </si>
  <si>
    <t>Pendawaian Auto Gate Min 10m</t>
  </si>
  <si>
    <t>Pendawaian Auto Gate &gt;10m / Meter (1.5 9 Core)</t>
  </si>
  <si>
    <t>Pendawaian Auto Gate &gt;10m / Meter (2.5 9 Core)</t>
  </si>
  <si>
    <t xml:space="preserve">        Installation Works</t>
  </si>
  <si>
    <t>Pemasangan Lampu Kalimantang</t>
  </si>
  <si>
    <t>Pemasangan Lampu Downlight / Tebuk</t>
  </si>
  <si>
    <t>Pemasangan Lampu T5 (1ft)</t>
  </si>
  <si>
    <t>Pemasangan Lampu T5 (2ft)</t>
  </si>
  <si>
    <t>Pemasangan Lampu T5 (3ft)</t>
  </si>
  <si>
    <t>Pemasangan Lampu T5 (4ft)</t>
  </si>
  <si>
    <t>Pemasangan Kipas Biasa / Remote</t>
  </si>
  <si>
    <t>Pemasangan Kipas Decoration / Berlampu</t>
  </si>
  <si>
    <t>Pemasangan Hook Kipas Baru</t>
  </si>
  <si>
    <t>Membuka Semua Jenis Kipas</t>
  </si>
  <si>
    <t>Pemasangan Water Heater</t>
  </si>
  <si>
    <t>Pemasangan Pembumian Elektrik</t>
  </si>
  <si>
    <t>Pemasangan Kitchen Hood</t>
  </si>
  <si>
    <t>Menebuk Dinding Lubang Exhaust Fan</t>
  </si>
  <si>
    <t>Pemasangan Air Cond 1.0HP Wall Type</t>
  </si>
  <si>
    <t>Pemasangan Air Cond 1.5HP Wall Type</t>
  </si>
  <si>
    <t>Pemasangan Air Cond 2.0HP Wall Type</t>
  </si>
  <si>
    <t>Pemasangan Air Cond 2.5HP Wall Type</t>
  </si>
  <si>
    <t>Pemasangan Air Cond 3.0HP Wall Type</t>
  </si>
  <si>
    <t>Pemasangan Air Cond 1.5HP Ceiling Type</t>
  </si>
  <si>
    <t>Pemasangan Air Cond 2.0HP Ceiling Type</t>
  </si>
  <si>
    <t>Pemasangan Air Cond 2.5HP Ceiling Type</t>
  </si>
  <si>
    <t>Pemasangan Air Cond 3.0HP Ceiling Type</t>
  </si>
  <si>
    <t>Pemasangan Air Cond 1.5HP Cassette Type</t>
  </si>
  <si>
    <t>Pemasangan Air Cond 2.0HP Cassette Type</t>
  </si>
  <si>
    <t>Pemasangan Air Cond 2.5HP Cassette Type</t>
  </si>
  <si>
    <t>Pemasangan Air Cond 3.0HP Cassette Type</t>
  </si>
  <si>
    <t>Caj Tambahan Pemasangan Air Cond Jenis Inverter</t>
  </si>
  <si>
    <t xml:space="preserve">        Floor &amp; Surface Finishing</t>
  </si>
  <si>
    <t>Tiles 200x200</t>
  </si>
  <si>
    <t>Tiles 400x400</t>
  </si>
  <si>
    <t>Tiles 600x600</t>
  </si>
  <si>
    <t>Tiles 600x1200</t>
  </si>
  <si>
    <t>Tiles 800x800</t>
  </si>
  <si>
    <t xml:space="preserve">        Paints &amp; Coatings</t>
  </si>
  <si>
    <t>Black Oxide Paint 18L</t>
  </si>
  <si>
    <t>IM-020195</t>
  </si>
  <si>
    <t>White Gloss Paint 5L</t>
  </si>
  <si>
    <t>IK-058849</t>
  </si>
  <si>
    <t>Black Gloss Paint 5L</t>
  </si>
  <si>
    <t>IM-020443</t>
  </si>
  <si>
    <t xml:space="preserve">        Fasteners &amp; Anchors</t>
  </si>
  <si>
    <t>DS438FH 8#x1 1/2" Self Drilling Screw</t>
  </si>
  <si>
    <t>IK-056824</t>
  </si>
  <si>
    <t>Hex Self Drilling Screw DS525HW 10#x1"</t>
  </si>
  <si>
    <t>IM-019552</t>
  </si>
  <si>
    <t>Wedge Anchor M12x150mm</t>
  </si>
  <si>
    <t xml:space="preserve">        Welding &amp; Gas</t>
  </si>
  <si>
    <t>MIG Welding Wire 0.8mm 5kg ORCA</t>
  </si>
  <si>
    <t>IM-019925</t>
  </si>
  <si>
    <t>Kobelco Welding Electrode MS6013 2.6mm</t>
  </si>
  <si>
    <t>IM-020165</t>
  </si>
  <si>
    <t>CO2 Gas Cylinder Refill 26kg</t>
  </si>
  <si>
    <t>Cyl</t>
  </si>
  <si>
    <t>Parweld MIG Torch MB15 5m</t>
  </si>
  <si>
    <t>IM-020393</t>
  </si>
  <si>
    <t>Contact Tip 0.8mm x 25L M6 MB15</t>
  </si>
  <si>
    <t>Tip Holder Brass MB15</t>
  </si>
  <si>
    <t>Small Nozzle 0.8mm</t>
  </si>
  <si>
    <t>Nozzle Gel</t>
  </si>
  <si>
    <t xml:space="preserve">        Cutting &amp; Abrasives</t>
  </si>
  <si>
    <t>Cutting Disc Thailand 105x1.2x16mm</t>
  </si>
  <si>
    <t>Deecut Cutting Disc 105x1.2x16mm</t>
  </si>
  <si>
    <t>Overlapping Sandpaper Wheel #80</t>
  </si>
  <si>
    <t>IM-020196</t>
  </si>
  <si>
    <t xml:space="preserve">        Tools &amp; Accessories</t>
  </si>
  <si>
    <t>Stanley Measuring Tape 8m</t>
  </si>
  <si>
    <t>Knight Magnetic Nut Setter 8x65mm</t>
  </si>
  <si>
    <t>Knight Magnetic Nut Setter 8x45mm</t>
  </si>
  <si>
    <t xml:space="preserve">        Painting Tools</t>
  </si>
  <si>
    <t>Leon Paint Roller Refill L450 4"</t>
  </si>
  <si>
    <t>Sofia Roller Refill 4" White</t>
  </si>
  <si>
    <t>Nylon Paint Brush 1 1/2"</t>
  </si>
  <si>
    <t>Domino Paint Brush Nylon 1"</t>
  </si>
  <si>
    <t>Domino Paint Brush 750# 1 1/2"</t>
  </si>
  <si>
    <t xml:space="preserve">        Building Hardware</t>
  </si>
  <si>
    <t>Door Hinges 3/8"x1 1/4"x2"</t>
  </si>
  <si>
    <t>Wall Plug SYW 12mm 3/8"x3"</t>
  </si>
  <si>
    <t>IK-055846</t>
  </si>
  <si>
    <t xml:space="preserve">        Electrical Parts</t>
  </si>
  <si>
    <t>LED Bulb 12W Warm White</t>
  </si>
  <si>
    <t>IK-072128</t>
  </si>
  <si>
    <t>MCB Schneider 20A</t>
  </si>
  <si>
    <t>IM-023758</t>
  </si>
  <si>
    <t>Schneider Switch 1 Gang</t>
  </si>
  <si>
    <t>IK-086979</t>
  </si>
  <si>
    <t>Schneider Socket 13A</t>
  </si>
  <si>
    <t>IK-088842</t>
  </si>
  <si>
    <t>Consumer DB Box 12 Way</t>
  </si>
  <si>
    <t>IM-027323</t>
  </si>
  <si>
    <t>Stainless Steel Door Lock Body</t>
  </si>
  <si>
    <t>IK-090908</t>
  </si>
  <si>
    <t>Stanley Paint Brush 2"</t>
  </si>
  <si>
    <t>IK-089983</t>
  </si>
  <si>
    <t>Safety Goggle ADX-9181-5</t>
  </si>
  <si>
    <t>Talc Chalk</t>
  </si>
  <si>
    <t>Parweld Tip Adaptor</t>
  </si>
  <si>
    <t>Stanley Cutter Knife Heavy Duty</t>
  </si>
  <si>
    <t>IM-027468</t>
  </si>
  <si>
    <t>Red Oxide Primer 5L</t>
  </si>
  <si>
    <t>Weatherbond Exterior Paint 15L</t>
  </si>
  <si>
    <t>IM-027581</t>
  </si>
  <si>
    <t>Thinner 2kg</t>
  </si>
  <si>
    <t>Concrete Nail 2" Box</t>
  </si>
  <si>
    <t>Steel Expansion Bolt M10x100</t>
  </si>
  <si>
    <t>IM-027790</t>
  </si>
  <si>
    <t>CO2 Gas Cylinder Refill 20kg</t>
  </si>
  <si>
    <t>IM-028239</t>
  </si>
  <si>
    <t>Welding Electrode E7018 3.2mm</t>
  </si>
  <si>
    <t>Grinding Disc 7" Bosch</t>
  </si>
  <si>
    <t>IK-090845</t>
  </si>
  <si>
    <t>Flap Disc 4" Grit 80</t>
  </si>
  <si>
    <t>IM-028235</t>
  </si>
  <si>
    <t xml:space="preserve">        Safety &amp; PPE</t>
  </si>
  <si>
    <t>Reflective Safety Vest</t>
  </si>
  <si>
    <t>IM-022993</t>
  </si>
  <si>
    <t>Safety Helmet Yellow</t>
  </si>
  <si>
    <t>IK-072742</t>
  </si>
  <si>
    <t>Safety Goggle Clear</t>
  </si>
  <si>
    <t>Ear Plug Disposable</t>
  </si>
  <si>
    <t>Pairs</t>
  </si>
  <si>
    <t>Glove Nitrile Heavy Duty</t>
  </si>
  <si>
    <t xml:space="preserve">        Plumbing &amp; Sanitary</t>
  </si>
  <si>
    <t>PVC Elbow 1"</t>
  </si>
  <si>
    <t>IM-020592</t>
  </si>
  <si>
    <t>PVC Tee 1"</t>
  </si>
  <si>
    <t>PPR Pipe 20mm PN20</t>
  </si>
  <si>
    <t>Brass Gate Valve 1"</t>
  </si>
  <si>
    <t>Stainless Steel Floor Trap 4"</t>
  </si>
  <si>
    <t>IM-028207</t>
  </si>
  <si>
    <t xml:space="preserve">        Miscellaneous</t>
  </si>
  <si>
    <t>Poly Rope 6mm Blue</t>
  </si>
  <si>
    <t>WD-40 Spray 400ml</t>
  </si>
  <si>
    <t>Aluminium Ladder 6ft</t>
  </si>
  <si>
    <t>Cable Tie 200mm Black</t>
  </si>
  <si>
    <t>Packs</t>
  </si>
  <si>
    <t>Plastic Tarpaulin Sheet 12x18ft</t>
  </si>
  <si>
    <t xml:space="preserve">15L (P) Nippon Multi Purpose Floor Coating </t>
  </si>
  <si>
    <t>Pack</t>
  </si>
  <si>
    <t>SikaCeram®-450 H Quick-drying anti-cracking self-levelling floor screed 20Kg/Bag</t>
  </si>
  <si>
    <t>Knauf firestop 1220mm  x 2440mm x 16mm tefr (partition)</t>
  </si>
  <si>
    <t>Knauf partition board 4' x 8' x 12mm te (basic)</t>
  </si>
  <si>
    <t>SS Round Tube 2" x 6.1m x 3.0mm</t>
  </si>
  <si>
    <t>SS Round Tube 1" x 6.1m x 2.0mm</t>
  </si>
  <si>
    <t>QT25002475</t>
  </si>
  <si>
    <t>Sand Brick (520 pcs / Pallet)</t>
  </si>
  <si>
    <t>YTL PCC Cement Castle (50kg BAG)</t>
  </si>
  <si>
    <t>Concrete Nail Jaguar 3" (1kg box)</t>
  </si>
  <si>
    <t>Round Bar R6 (Ø6mm x 12m)</t>
  </si>
  <si>
    <t>length</t>
  </si>
  <si>
    <t>ikat</t>
  </si>
  <si>
    <t>QT-004439</t>
  </si>
  <si>
    <t>Canvas Blue/White BW-6100 (6ft x 100 yard; SUNTUF)</t>
  </si>
  <si>
    <t>roll</t>
  </si>
  <si>
    <t>Wheel Barrow H/D Yellow Deep (C/W Plate)</t>
  </si>
  <si>
    <t>Shovel Metal Handle Flat STD</t>
  </si>
  <si>
    <t>Shovel Metal Handle Sharp STD</t>
  </si>
  <si>
    <t>MS Y-Bar (Deformed) Ø12mm x 12m</t>
  </si>
  <si>
    <t>TX216891</t>
  </si>
  <si>
    <t>Mild Steel Deformed Bar</t>
  </si>
  <si>
    <t>Mild Steel Round Bar (R-Bar)</t>
  </si>
  <si>
    <t>MS R-Bar (Round) Ø8mm x 12m</t>
  </si>
  <si>
    <t>Downlight 12W 4" Round PVC (White Fighter)</t>
  </si>
  <si>
    <t>QT-004339</t>
  </si>
  <si>
    <t>Single Switch Socket 13A Schneider A3G15WE</t>
  </si>
  <si>
    <t>DS-HW 625 12 x 1" SD Screw (400pcs)</t>
  </si>
  <si>
    <t>Drywall Screw 6 x 1" MKZ-625 ZP (1000pcs)</t>
  </si>
  <si>
    <t>Nail 2.5" (12kg)</t>
  </si>
  <si>
    <t>Nail 3" (12kg)</t>
  </si>
  <si>
    <t>Nippon Super Matex Paint 18L</t>
  </si>
  <si>
    <t>pail</t>
  </si>
  <si>
    <t>Ball Valve Bib Tap Brass Chrome T108</t>
  </si>
  <si>
    <t>Stopcock L/D Brass 1/2" City</t>
  </si>
  <si>
    <t>PVC Pipe D 15mm (1/2") 5.8m</t>
  </si>
  <si>
    <t>PVC Tee D 15mm (1/2")</t>
  </si>
  <si>
    <t>PVC PT Socket Brass Thread 1/2"</t>
  </si>
  <si>
    <t>Gyproc Gypsum Board 4' x 6' x 9mm</t>
  </si>
  <si>
    <t>Metal Furring 10mm x 30mm x 12'</t>
  </si>
  <si>
    <t>Batten 121 0.48mm</t>
  </si>
  <si>
    <t>ASG Stopping Compound (A Plus) 18kg</t>
  </si>
  <si>
    <t>GI Wire SWG 20# 1.5kg (ikat/10 rolls)</t>
  </si>
  <si>
    <t>Sika Wall 192 Halus (White) 25kg</t>
  </si>
  <si>
    <t>Sika 215 (25kg)</t>
  </si>
  <si>
    <t>Cement</t>
  </si>
  <si>
    <t>Sand Halus (10-wheel)</t>
  </si>
  <si>
    <t>trip</t>
  </si>
  <si>
    <t>Sand Kasar (10-wheel)</t>
  </si>
  <si>
    <t>Batu Kasaran (10-wheel)</t>
  </si>
  <si>
    <t>Batu 3/4" Aggregate (10-wheel)</t>
  </si>
  <si>
    <t>Flashing #30 (0.25mm) 12" x 8' Red</t>
  </si>
  <si>
    <t>Kayu Meranti 1x2 x 10ft</t>
  </si>
  <si>
    <t>Waterproof Soft Tape 2" x 5m</t>
  </si>
  <si>
    <t>Silicone White Pro-Spec PS200 280g</t>
  </si>
  <si>
    <t>tube</t>
  </si>
  <si>
    <t>R6 12m Round Bar</t>
  </si>
  <si>
    <t>MS Hollow 6" x 6" x 6m x 4.5mm</t>
  </si>
  <si>
    <t>MS Hollow 4" x 8" x 6m x 4.5mm</t>
  </si>
  <si>
    <t>MS Hollow 3" x 3" x 6m x 3.2mm</t>
  </si>
  <si>
    <t>MS Hollow 2" x 4" x 6m x 3.2mm</t>
  </si>
  <si>
    <t>MS Angle Bar 4" x 6m x 6.0mm</t>
  </si>
  <si>
    <t>MS Angle Bar 3" x 6m x 6.0mm</t>
  </si>
  <si>
    <t>Grade 8.8 HDG Fully Threaded Stud Rod M24 x 2m</t>
  </si>
  <si>
    <t>Lgth</t>
  </si>
  <si>
    <t>Grade 8.8 HDG Hex Nut M24</t>
  </si>
  <si>
    <t>Mild Steel HDG Flat Washer M24</t>
  </si>
  <si>
    <t>Grade 8.8 HDG Fully Threaded Stud Rod M16 x 2m</t>
  </si>
  <si>
    <t>Grade 8.8 HDG Hex Nut M16</t>
  </si>
  <si>
    <t>Mild Steel HDG Flat Washer M16</t>
  </si>
  <si>
    <t>12mm (4' x 8') TEGO Plywood 7-Ply LYR Waterproof</t>
  </si>
  <si>
    <t>12mm (4' x 8') Plywood B2 Waterproof</t>
  </si>
  <si>
    <t xml:space="preserve">9mm (4' x 8') Plywood </t>
  </si>
  <si>
    <t>Purlin</t>
  </si>
  <si>
    <t>Mtr</t>
  </si>
  <si>
    <t>Z Purlin 200mm x 74mm x 68mm x 2.5mm</t>
  </si>
  <si>
    <t>TH Deck 762 PU Metal – Metal Roofing 0.35mm G28 TCT</t>
  </si>
  <si>
    <t>TH Deck 762 PU Metal – Metal Roofing 0.47mm G26 TCT</t>
  </si>
  <si>
    <t>TH Deck 762 PU Metal – Metal Roofing 0.40mm G27 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</si>
</sst>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3316-C934-40D5-8B93-1E0906C4BF33}">
  <dimension ref="A1:CT17"/>
  <sheetViews>
    <sheetView topLeftCell="U1" zoomScale="75" zoomScaleNormal="75" workbookViewId="0">
      <selection activeCell="K32" sqref="K32"/>
    </sheetView>
  </sheetViews>
  <sheetFormatPr defaultRowHeight="15" x14ac:dyDescent="0.25"/>
  <cols>
    <col min="1" max="1" width="3.7109375" bestFit="1" customWidth="1"/>
    <col min="2" max="2" width="30.85546875" bestFit="1" customWidth="1"/>
    <col min="3" max="3" width="4.28515625" bestFit="1" customWidth="1"/>
    <col min="4" max="4" width="5.7109375" bestFit="1" customWidth="1"/>
    <col min="5" max="5" width="14.42578125" bestFit="1" customWidth="1"/>
    <col min="6" max="6" width="10.85546875" bestFit="1" customWidth="1"/>
    <col min="7" max="7" width="13.28515625" bestFit="1" customWidth="1"/>
    <col min="8" max="9" width="10.85546875" bestFit="1" customWidth="1"/>
    <col min="10" max="10" width="9.7109375" bestFit="1" customWidth="1"/>
    <col min="11" max="11" width="37.7109375" bestFit="1" customWidth="1"/>
    <col min="12" max="12" width="4.7109375" bestFit="1" customWidth="1"/>
    <col min="13" max="13" width="5.85546875" bestFit="1" customWidth="1"/>
    <col min="14" max="14" width="14.7109375" bestFit="1" customWidth="1"/>
    <col min="15" max="15" width="10.28515625" bestFit="1" customWidth="1"/>
    <col min="16" max="16" width="13.28515625" bestFit="1" customWidth="1"/>
    <col min="17" max="17" width="12.28515625" bestFit="1" customWidth="1"/>
    <col min="19" max="19" width="3.7109375" bestFit="1" customWidth="1"/>
    <col min="20" max="20" width="40.7109375" bestFit="1" customWidth="1"/>
    <col min="21" max="21" width="4.28515625" bestFit="1" customWidth="1"/>
    <col min="22" max="22" width="5.7109375" bestFit="1" customWidth="1"/>
    <col min="23" max="23" width="14.42578125" bestFit="1" customWidth="1"/>
    <col min="24" max="24" width="10.28515625" bestFit="1" customWidth="1"/>
    <col min="25" max="25" width="13.28515625" bestFit="1" customWidth="1"/>
    <col min="26" max="26" width="10.85546875" bestFit="1" customWidth="1"/>
    <col min="28" max="28" width="3.7109375" bestFit="1" customWidth="1"/>
    <col min="29" max="29" width="35.42578125" bestFit="1" customWidth="1"/>
    <col min="30" max="30" width="4.7109375" bestFit="1" customWidth="1"/>
    <col min="31" max="31" width="5.7109375" bestFit="1" customWidth="1"/>
    <col min="32" max="32" width="14.42578125" bestFit="1" customWidth="1"/>
    <col min="33" max="33" width="10.28515625" bestFit="1" customWidth="1"/>
    <col min="34" max="34" width="13.28515625" bestFit="1" customWidth="1"/>
    <col min="35" max="35" width="10.85546875" bestFit="1" customWidth="1"/>
    <col min="37" max="37" width="3.7109375" bestFit="1" customWidth="1"/>
    <col min="38" max="38" width="34.42578125" bestFit="1" customWidth="1"/>
    <col min="39" max="39" width="4.28515625" bestFit="1" customWidth="1"/>
    <col min="40" max="40" width="5.7109375" bestFit="1" customWidth="1"/>
    <col min="41" max="41" width="14.42578125" bestFit="1" customWidth="1"/>
    <col min="42" max="42" width="10.28515625" bestFit="1" customWidth="1"/>
    <col min="43" max="43" width="13.28515625" bestFit="1" customWidth="1"/>
    <col min="44" max="44" width="10.85546875" bestFit="1" customWidth="1"/>
    <col min="46" max="46" width="3.7109375" bestFit="1" customWidth="1"/>
    <col min="47" max="47" width="30.28515625" bestFit="1" customWidth="1"/>
    <col min="48" max="48" width="4.28515625" bestFit="1" customWidth="1"/>
    <col min="49" max="49" width="5.7109375" bestFit="1" customWidth="1"/>
    <col min="50" max="50" width="14.42578125" bestFit="1" customWidth="1"/>
    <col min="51" max="51" width="10.28515625" bestFit="1" customWidth="1"/>
    <col min="52" max="52" width="13.28515625" bestFit="1" customWidth="1"/>
    <col min="53" max="53" width="12" bestFit="1" customWidth="1"/>
    <col min="55" max="55" width="3.7109375" bestFit="1" customWidth="1"/>
    <col min="56" max="56" width="28.85546875" bestFit="1" customWidth="1"/>
    <col min="57" max="57" width="4.28515625" bestFit="1" customWidth="1"/>
    <col min="58" max="58" width="5.7109375" bestFit="1" customWidth="1"/>
    <col min="59" max="59" width="14.42578125" bestFit="1" customWidth="1"/>
    <col min="60" max="60" width="10.28515625" bestFit="1" customWidth="1"/>
    <col min="61" max="61" width="13.28515625" bestFit="1" customWidth="1"/>
    <col min="62" max="62" width="12" bestFit="1" customWidth="1"/>
    <col min="64" max="64" width="3.7109375" bestFit="1" customWidth="1"/>
    <col min="65" max="65" width="25.85546875" bestFit="1" customWidth="1"/>
    <col min="66" max="66" width="4.28515625" bestFit="1" customWidth="1"/>
    <col min="67" max="67" width="5.7109375" bestFit="1" customWidth="1"/>
    <col min="68" max="68" width="14.42578125" bestFit="1" customWidth="1"/>
    <col min="69" max="69" width="10.28515625" bestFit="1" customWidth="1"/>
    <col min="70" max="70" width="13.28515625" bestFit="1" customWidth="1"/>
    <col min="71" max="71" width="12" bestFit="1" customWidth="1"/>
    <col min="73" max="73" width="3.7109375" bestFit="1" customWidth="1"/>
    <col min="74" max="74" width="23.42578125" bestFit="1" customWidth="1"/>
    <col min="75" max="75" width="4.28515625" bestFit="1" customWidth="1"/>
    <col min="76" max="76" width="5.85546875" bestFit="1" customWidth="1"/>
    <col min="77" max="77" width="14.42578125" bestFit="1" customWidth="1"/>
    <col min="78" max="78" width="10.28515625" bestFit="1" customWidth="1"/>
    <col min="79" max="79" width="13.28515625" bestFit="1" customWidth="1"/>
    <col min="80" max="80" width="12" bestFit="1" customWidth="1"/>
    <col min="82" max="82" width="3.7109375" bestFit="1" customWidth="1"/>
    <col min="83" max="83" width="26.5703125" bestFit="1" customWidth="1"/>
    <col min="84" max="84" width="4.28515625" bestFit="1" customWidth="1"/>
    <col min="85" max="85" width="7.42578125" bestFit="1" customWidth="1"/>
    <col min="86" max="86" width="14.42578125" bestFit="1" customWidth="1"/>
    <col min="87" max="87" width="10.28515625" bestFit="1" customWidth="1"/>
    <col min="88" max="88" width="13.28515625" bestFit="1" customWidth="1"/>
    <col min="89" max="89" width="12" bestFit="1" customWidth="1"/>
    <col min="91" max="91" width="3.7109375" bestFit="1" customWidth="1"/>
    <col min="92" max="92" width="29.85546875" bestFit="1" customWidth="1"/>
    <col min="93" max="93" width="4.28515625" bestFit="1" customWidth="1"/>
    <col min="94" max="94" width="6.42578125" bestFit="1" customWidth="1"/>
    <col min="95" max="95" width="14.42578125" bestFit="1" customWidth="1"/>
    <col min="96" max="96" width="10.28515625" bestFit="1" customWidth="1"/>
    <col min="97" max="97" width="13.28515625" bestFit="1" customWidth="1"/>
    <col min="98" max="98" width="10.85546875" bestFit="1" customWidth="1"/>
  </cols>
  <sheetData>
    <row r="1" spans="1:98" s="8" customFormat="1" x14ac:dyDescent="0.25">
      <c r="B1" s="8" t="s">
        <v>428</v>
      </c>
      <c r="K1" s="8" t="s">
        <v>435</v>
      </c>
      <c r="T1" s="8" t="s">
        <v>441</v>
      </c>
      <c r="AC1" s="8" t="s">
        <v>454</v>
      </c>
      <c r="AL1" s="8" t="s">
        <v>459</v>
      </c>
      <c r="AU1" s="8" t="s">
        <v>463</v>
      </c>
      <c r="BD1" s="8" t="s">
        <v>469</v>
      </c>
      <c r="BM1" s="8" t="s">
        <v>473</v>
      </c>
      <c r="BV1" s="8" t="s">
        <v>507</v>
      </c>
      <c r="CE1" s="8" t="s">
        <v>516</v>
      </c>
      <c r="CN1" s="8" t="s">
        <v>524</v>
      </c>
    </row>
    <row r="2" spans="1:98" s="8" customFormat="1" x14ac:dyDescent="0.25">
      <c r="A2" s="8" t="s">
        <v>0</v>
      </c>
      <c r="B2" s="8" t="s">
        <v>21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10"/>
      <c r="J2" s="8" t="s">
        <v>0</v>
      </c>
      <c r="K2" s="8" t="s">
        <v>21</v>
      </c>
      <c r="L2" s="8" t="s">
        <v>1</v>
      </c>
      <c r="M2" s="8" t="s">
        <v>2</v>
      </c>
      <c r="N2" s="8" t="s">
        <v>3</v>
      </c>
      <c r="O2" s="8" t="s">
        <v>4</v>
      </c>
      <c r="P2" s="8" t="s">
        <v>5</v>
      </c>
      <c r="Q2" s="8" t="s">
        <v>6</v>
      </c>
      <c r="S2" s="8" t="s">
        <v>0</v>
      </c>
      <c r="T2" s="8" t="s">
        <v>21</v>
      </c>
      <c r="U2" s="8" t="s">
        <v>1</v>
      </c>
      <c r="V2" s="8" t="s">
        <v>2</v>
      </c>
      <c r="W2" s="8" t="s">
        <v>3</v>
      </c>
      <c r="X2" s="8" t="s">
        <v>4</v>
      </c>
      <c r="Y2" s="8" t="s">
        <v>5</v>
      </c>
      <c r="Z2" s="8" t="s">
        <v>6</v>
      </c>
      <c r="AB2" s="8" t="s">
        <v>0</v>
      </c>
      <c r="AC2" s="8" t="s">
        <v>21</v>
      </c>
      <c r="AD2" s="8" t="s">
        <v>1</v>
      </c>
      <c r="AE2" s="8" t="s">
        <v>2</v>
      </c>
      <c r="AF2" s="8" t="s">
        <v>3</v>
      </c>
      <c r="AG2" s="8" t="s">
        <v>4</v>
      </c>
      <c r="AH2" s="8" t="s">
        <v>5</v>
      </c>
      <c r="AI2" s="8" t="s">
        <v>6</v>
      </c>
      <c r="AK2" s="8" t="s">
        <v>0</v>
      </c>
      <c r="AL2" s="8" t="s">
        <v>21</v>
      </c>
      <c r="AM2" s="8" t="s">
        <v>1</v>
      </c>
      <c r="AN2" s="8" t="s">
        <v>2</v>
      </c>
      <c r="AO2" s="8" t="s">
        <v>3</v>
      </c>
      <c r="AP2" s="8" t="s">
        <v>4</v>
      </c>
      <c r="AQ2" s="8" t="s">
        <v>5</v>
      </c>
      <c r="AR2" s="8" t="s">
        <v>6</v>
      </c>
      <c r="AT2" s="8" t="s">
        <v>0</v>
      </c>
      <c r="AU2" s="8" t="s">
        <v>21</v>
      </c>
      <c r="AV2" s="8" t="s">
        <v>1</v>
      </c>
      <c r="AW2" s="8" t="s">
        <v>2</v>
      </c>
      <c r="AX2" s="8" t="s">
        <v>3</v>
      </c>
      <c r="AY2" s="8" t="s">
        <v>4</v>
      </c>
      <c r="AZ2" s="8" t="s">
        <v>5</v>
      </c>
      <c r="BA2" s="8" t="s">
        <v>6</v>
      </c>
      <c r="BC2" s="8" t="s">
        <v>0</v>
      </c>
      <c r="BD2" s="8" t="s">
        <v>21</v>
      </c>
      <c r="BE2" s="8" t="s">
        <v>1</v>
      </c>
      <c r="BF2" s="8" t="s">
        <v>2</v>
      </c>
      <c r="BG2" s="8" t="s">
        <v>3</v>
      </c>
      <c r="BH2" s="8" t="s">
        <v>4</v>
      </c>
      <c r="BI2" s="8" t="s">
        <v>5</v>
      </c>
      <c r="BJ2" s="8" t="s">
        <v>6</v>
      </c>
      <c r="BL2" s="8" t="s">
        <v>0</v>
      </c>
      <c r="BM2" s="8" t="s">
        <v>21</v>
      </c>
      <c r="BN2" s="8" t="s">
        <v>1</v>
      </c>
      <c r="BO2" s="8" t="s">
        <v>2</v>
      </c>
      <c r="BP2" s="8" t="s">
        <v>3</v>
      </c>
      <c r="BQ2" s="8" t="s">
        <v>4</v>
      </c>
      <c r="BR2" s="8" t="s">
        <v>5</v>
      </c>
      <c r="BS2" s="8" t="s">
        <v>6</v>
      </c>
      <c r="BU2" s="8" t="s">
        <v>0</v>
      </c>
      <c r="BV2" s="8" t="s">
        <v>21</v>
      </c>
      <c r="BW2" s="8" t="s">
        <v>1</v>
      </c>
      <c r="BX2" s="8" t="s">
        <v>2</v>
      </c>
      <c r="BY2" s="8" t="s">
        <v>3</v>
      </c>
      <c r="BZ2" s="8" t="s">
        <v>4</v>
      </c>
      <c r="CA2" s="8" t="s">
        <v>5</v>
      </c>
      <c r="CB2" s="8" t="s">
        <v>6</v>
      </c>
      <c r="CD2" s="8" t="s">
        <v>0</v>
      </c>
      <c r="CE2" s="8" t="s">
        <v>21</v>
      </c>
      <c r="CF2" s="8" t="s">
        <v>1</v>
      </c>
      <c r="CG2" s="8" t="s">
        <v>2</v>
      </c>
      <c r="CH2" s="8" t="s">
        <v>3</v>
      </c>
      <c r="CI2" s="8" t="s">
        <v>4</v>
      </c>
      <c r="CJ2" s="8" t="s">
        <v>5</v>
      </c>
      <c r="CK2" s="8" t="s">
        <v>6</v>
      </c>
      <c r="CM2" s="8" t="s">
        <v>0</v>
      </c>
      <c r="CN2" s="8" t="s">
        <v>21</v>
      </c>
      <c r="CO2" s="8" t="s">
        <v>1</v>
      </c>
      <c r="CP2" s="8" t="s">
        <v>2</v>
      </c>
      <c r="CQ2" s="8" t="s">
        <v>3</v>
      </c>
      <c r="CR2" s="8" t="s">
        <v>4</v>
      </c>
      <c r="CS2" s="8" t="s">
        <v>5</v>
      </c>
      <c r="CT2" s="8" t="s">
        <v>6</v>
      </c>
    </row>
    <row r="3" spans="1:98" x14ac:dyDescent="0.25">
      <c r="A3">
        <v>1</v>
      </c>
      <c r="B3" t="s">
        <v>429</v>
      </c>
      <c r="C3">
        <v>1</v>
      </c>
      <c r="D3" t="s">
        <v>48</v>
      </c>
      <c r="E3">
        <v>68</v>
      </c>
      <c r="F3">
        <v>68</v>
      </c>
      <c r="G3" t="s">
        <v>430</v>
      </c>
      <c r="H3" s="3">
        <v>44979</v>
      </c>
      <c r="I3" s="3"/>
      <c r="J3">
        <v>1</v>
      </c>
      <c r="K3" s="11" t="s">
        <v>436</v>
      </c>
      <c r="L3" s="1">
        <v>1</v>
      </c>
      <c r="M3" s="1" t="s">
        <v>38</v>
      </c>
      <c r="N3" s="1">
        <v>26</v>
      </c>
      <c r="O3" s="1">
        <v>26</v>
      </c>
      <c r="P3" s="1" t="s">
        <v>437</v>
      </c>
      <c r="Q3" s="9">
        <v>44881</v>
      </c>
      <c r="R3" s="7"/>
      <c r="S3">
        <v>1</v>
      </c>
      <c r="T3" t="s">
        <v>442</v>
      </c>
      <c r="U3">
        <v>3</v>
      </c>
      <c r="V3" t="s">
        <v>25</v>
      </c>
      <c r="W3">
        <v>35</v>
      </c>
      <c r="X3">
        <v>105</v>
      </c>
      <c r="Y3" t="s">
        <v>443</v>
      </c>
      <c r="Z3" s="3">
        <v>44943</v>
      </c>
      <c r="AB3">
        <v>1</v>
      </c>
      <c r="AC3" t="s">
        <v>455</v>
      </c>
      <c r="AD3">
        <v>50</v>
      </c>
      <c r="AE3" t="s">
        <v>33</v>
      </c>
      <c r="AF3">
        <v>0.9</v>
      </c>
      <c r="AG3">
        <v>45</v>
      </c>
      <c r="AH3" t="s">
        <v>432</v>
      </c>
      <c r="AI3" s="3">
        <v>44938</v>
      </c>
      <c r="AK3">
        <v>1</v>
      </c>
      <c r="AL3" t="s">
        <v>460</v>
      </c>
      <c r="AM3">
        <v>1</v>
      </c>
      <c r="AN3" t="s">
        <v>33</v>
      </c>
      <c r="AO3">
        <v>31</v>
      </c>
      <c r="AP3">
        <v>31</v>
      </c>
      <c r="AQ3" t="s">
        <v>445</v>
      </c>
      <c r="AR3" s="3">
        <v>44975</v>
      </c>
      <c r="AT3">
        <v>1</v>
      </c>
      <c r="AU3" t="s">
        <v>464</v>
      </c>
      <c r="AV3">
        <v>20</v>
      </c>
      <c r="AW3" t="s">
        <v>33</v>
      </c>
      <c r="AX3">
        <v>0.9</v>
      </c>
      <c r="AY3">
        <v>18</v>
      </c>
      <c r="AZ3" t="s">
        <v>434</v>
      </c>
      <c r="BA3" s="3">
        <v>45006</v>
      </c>
      <c r="BC3">
        <v>1</v>
      </c>
      <c r="BD3" t="s">
        <v>470</v>
      </c>
      <c r="BE3">
        <v>6</v>
      </c>
      <c r="BF3" t="s">
        <v>33</v>
      </c>
      <c r="BG3">
        <v>0.85</v>
      </c>
      <c r="BH3">
        <v>5.0999999999999996</v>
      </c>
      <c r="BI3" t="s">
        <v>449</v>
      </c>
      <c r="BJ3" s="3">
        <v>45000</v>
      </c>
      <c r="BL3">
        <v>1</v>
      </c>
      <c r="BM3" t="s">
        <v>474</v>
      </c>
      <c r="BN3">
        <v>10</v>
      </c>
      <c r="BO3" t="s">
        <v>33</v>
      </c>
      <c r="BP3">
        <v>5.5</v>
      </c>
      <c r="BQ3">
        <v>55</v>
      </c>
      <c r="BR3" t="s">
        <v>475</v>
      </c>
      <c r="BS3" s="3">
        <v>45288</v>
      </c>
      <c r="BU3">
        <v>1</v>
      </c>
      <c r="BV3" t="s">
        <v>508</v>
      </c>
      <c r="BW3">
        <v>10</v>
      </c>
      <c r="BX3" t="s">
        <v>33</v>
      </c>
      <c r="BY3">
        <v>12</v>
      </c>
      <c r="BZ3">
        <v>120</v>
      </c>
      <c r="CA3" t="s">
        <v>509</v>
      </c>
      <c r="CB3" s="3">
        <v>45288</v>
      </c>
      <c r="CD3">
        <v>1</v>
      </c>
      <c r="CE3" t="s">
        <v>517</v>
      </c>
      <c r="CF3">
        <v>50</v>
      </c>
      <c r="CG3" t="s">
        <v>33</v>
      </c>
      <c r="CH3">
        <v>0.7</v>
      </c>
      <c r="CI3">
        <v>35</v>
      </c>
      <c r="CJ3" t="s">
        <v>518</v>
      </c>
      <c r="CK3" s="3">
        <v>45057</v>
      </c>
      <c r="CM3">
        <v>1</v>
      </c>
      <c r="CN3" t="s">
        <v>525</v>
      </c>
      <c r="CO3">
        <v>1</v>
      </c>
      <c r="CP3" t="s">
        <v>25</v>
      </c>
      <c r="CQ3">
        <v>38</v>
      </c>
      <c r="CR3">
        <v>38</v>
      </c>
      <c r="CS3" t="s">
        <v>511</v>
      </c>
      <c r="CT3" s="3">
        <v>45310</v>
      </c>
    </row>
    <row r="4" spans="1:98" x14ac:dyDescent="0.25">
      <c r="A4">
        <v>2</v>
      </c>
      <c r="B4" t="s">
        <v>431</v>
      </c>
      <c r="C4">
        <v>1</v>
      </c>
      <c r="D4" t="s">
        <v>48</v>
      </c>
      <c r="E4">
        <v>94</v>
      </c>
      <c r="F4">
        <v>94</v>
      </c>
      <c r="G4" t="s">
        <v>432</v>
      </c>
      <c r="H4" s="3">
        <v>44938</v>
      </c>
      <c r="I4" s="3"/>
      <c r="J4">
        <v>2</v>
      </c>
      <c r="K4" t="s">
        <v>497</v>
      </c>
      <c r="L4">
        <v>1</v>
      </c>
      <c r="M4" t="s">
        <v>38</v>
      </c>
      <c r="N4">
        <v>9.5</v>
      </c>
      <c r="O4">
        <v>9.5</v>
      </c>
      <c r="P4" t="s">
        <v>487</v>
      </c>
      <c r="Q4" s="3">
        <v>45756</v>
      </c>
      <c r="R4" s="3"/>
      <c r="S4">
        <v>2</v>
      </c>
      <c r="T4" t="s">
        <v>444</v>
      </c>
      <c r="U4">
        <v>1</v>
      </c>
      <c r="V4" t="s">
        <v>38</v>
      </c>
      <c r="W4">
        <v>47.5</v>
      </c>
      <c r="X4">
        <v>47.5</v>
      </c>
      <c r="Y4" t="s">
        <v>445</v>
      </c>
      <c r="Z4" s="3">
        <v>44975</v>
      </c>
      <c r="AB4">
        <v>2</v>
      </c>
      <c r="AC4" t="s">
        <v>456</v>
      </c>
      <c r="AD4">
        <v>100</v>
      </c>
      <c r="AE4" t="s">
        <v>33</v>
      </c>
      <c r="AF4">
        <v>0.8</v>
      </c>
      <c r="AG4">
        <v>80</v>
      </c>
      <c r="AH4" t="s">
        <v>449</v>
      </c>
      <c r="AI4" s="3">
        <v>45000</v>
      </c>
      <c r="AK4">
        <v>2</v>
      </c>
      <c r="AL4" t="s">
        <v>488</v>
      </c>
      <c r="AM4">
        <v>1</v>
      </c>
      <c r="AN4" t="s">
        <v>33</v>
      </c>
      <c r="AO4">
        <v>7</v>
      </c>
      <c r="AP4">
        <v>7</v>
      </c>
      <c r="AQ4" t="s">
        <v>434</v>
      </c>
      <c r="AR4" s="3">
        <v>45006</v>
      </c>
      <c r="AT4">
        <v>2</v>
      </c>
      <c r="AU4" t="s">
        <v>465</v>
      </c>
      <c r="AV4">
        <v>10</v>
      </c>
      <c r="AW4" t="s">
        <v>33</v>
      </c>
      <c r="AX4">
        <v>1.4</v>
      </c>
      <c r="AY4">
        <v>14</v>
      </c>
      <c r="AZ4" t="s">
        <v>439</v>
      </c>
      <c r="BA4" s="3">
        <v>44911</v>
      </c>
      <c r="BC4">
        <v>2</v>
      </c>
      <c r="BD4" t="s">
        <v>471</v>
      </c>
      <c r="BE4">
        <v>2</v>
      </c>
      <c r="BF4" t="s">
        <v>38</v>
      </c>
      <c r="BG4">
        <v>64</v>
      </c>
      <c r="BH4">
        <v>128</v>
      </c>
      <c r="BI4" t="s">
        <v>472</v>
      </c>
      <c r="BJ4" s="3">
        <v>44855</v>
      </c>
      <c r="BL4">
        <v>2</v>
      </c>
      <c r="BM4" t="s">
        <v>476</v>
      </c>
      <c r="BN4">
        <v>5</v>
      </c>
      <c r="BO4" t="s">
        <v>33</v>
      </c>
      <c r="BP4">
        <v>22</v>
      </c>
      <c r="BQ4">
        <v>110</v>
      </c>
      <c r="BR4" t="s">
        <v>477</v>
      </c>
      <c r="BS4" s="3">
        <v>45369</v>
      </c>
      <c r="BU4">
        <v>2</v>
      </c>
      <c r="BV4" t="s">
        <v>510</v>
      </c>
      <c r="BW4">
        <v>5</v>
      </c>
      <c r="BX4" t="s">
        <v>33</v>
      </c>
      <c r="BY4">
        <v>18</v>
      </c>
      <c r="BZ4">
        <v>90</v>
      </c>
      <c r="CA4" t="s">
        <v>511</v>
      </c>
      <c r="CB4" s="3">
        <v>45310</v>
      </c>
      <c r="CD4">
        <v>2</v>
      </c>
      <c r="CE4" t="s">
        <v>519</v>
      </c>
      <c r="CF4">
        <v>30</v>
      </c>
      <c r="CG4" t="s">
        <v>33</v>
      </c>
      <c r="CH4">
        <v>0.8</v>
      </c>
      <c r="CI4">
        <v>24</v>
      </c>
      <c r="CJ4" t="s">
        <v>475</v>
      </c>
      <c r="CK4" s="3">
        <v>45288</v>
      </c>
      <c r="CM4">
        <v>2</v>
      </c>
      <c r="CN4" t="s">
        <v>526</v>
      </c>
      <c r="CO4">
        <v>6</v>
      </c>
      <c r="CP4" t="s">
        <v>48</v>
      </c>
      <c r="CQ4">
        <v>15</v>
      </c>
      <c r="CR4">
        <v>90</v>
      </c>
      <c r="CS4" t="s">
        <v>477</v>
      </c>
      <c r="CT4" s="3">
        <v>45369</v>
      </c>
    </row>
    <row r="5" spans="1:98" x14ac:dyDescent="0.25">
      <c r="A5">
        <v>3</v>
      </c>
      <c r="B5" t="s">
        <v>433</v>
      </c>
      <c r="C5">
        <v>1</v>
      </c>
      <c r="D5" t="s">
        <v>48</v>
      </c>
      <c r="E5">
        <v>78</v>
      </c>
      <c r="F5">
        <v>78</v>
      </c>
      <c r="G5" t="s">
        <v>434</v>
      </c>
      <c r="H5" s="3">
        <v>45006</v>
      </c>
      <c r="I5" s="3"/>
      <c r="J5">
        <v>3</v>
      </c>
      <c r="K5" t="s">
        <v>560</v>
      </c>
      <c r="L5">
        <v>1</v>
      </c>
      <c r="M5" t="s">
        <v>16</v>
      </c>
      <c r="N5">
        <v>22</v>
      </c>
      <c r="O5">
        <v>22</v>
      </c>
      <c r="P5" t="s">
        <v>557</v>
      </c>
      <c r="Q5" s="3">
        <v>45902</v>
      </c>
      <c r="R5" s="3"/>
      <c r="S5">
        <v>3</v>
      </c>
      <c r="T5" t="s">
        <v>446</v>
      </c>
      <c r="U5">
        <v>1</v>
      </c>
      <c r="V5" t="s">
        <v>447</v>
      </c>
      <c r="W5">
        <v>80</v>
      </c>
      <c r="X5">
        <v>80</v>
      </c>
      <c r="Y5" t="s">
        <v>445</v>
      </c>
      <c r="Z5" s="3">
        <v>44975</v>
      </c>
      <c r="AB5">
        <v>3</v>
      </c>
      <c r="AC5" t="s">
        <v>457</v>
      </c>
      <c r="AD5">
        <v>5</v>
      </c>
      <c r="AE5" t="s">
        <v>33</v>
      </c>
      <c r="AF5">
        <v>2.5</v>
      </c>
      <c r="AG5">
        <v>12.5</v>
      </c>
      <c r="AH5" t="s">
        <v>458</v>
      </c>
      <c r="AI5" s="3">
        <v>44979</v>
      </c>
      <c r="AK5">
        <v>3</v>
      </c>
      <c r="AL5" t="s">
        <v>489</v>
      </c>
      <c r="AM5">
        <v>1</v>
      </c>
      <c r="AN5" t="s">
        <v>38</v>
      </c>
      <c r="AO5">
        <v>8.5</v>
      </c>
      <c r="AP5">
        <v>8.5</v>
      </c>
      <c r="AQ5" t="s">
        <v>449</v>
      </c>
      <c r="AR5" s="3">
        <v>45000</v>
      </c>
      <c r="AT5">
        <v>3</v>
      </c>
      <c r="AU5" t="s">
        <v>466</v>
      </c>
      <c r="AV5">
        <v>2</v>
      </c>
      <c r="AW5" t="s">
        <v>33</v>
      </c>
      <c r="AX5">
        <v>1.9</v>
      </c>
      <c r="AY5">
        <v>3.8</v>
      </c>
      <c r="AZ5" t="s">
        <v>439</v>
      </c>
      <c r="BA5" s="3">
        <v>44911</v>
      </c>
      <c r="BC5">
        <v>3</v>
      </c>
      <c r="BD5" t="s">
        <v>484</v>
      </c>
      <c r="BE5">
        <v>2</v>
      </c>
      <c r="BF5" t="s">
        <v>50</v>
      </c>
      <c r="BG5">
        <v>48</v>
      </c>
      <c r="BH5">
        <v>96</v>
      </c>
      <c r="BI5" t="s">
        <v>485</v>
      </c>
      <c r="BJ5" s="3">
        <v>45798</v>
      </c>
      <c r="BL5">
        <v>3</v>
      </c>
      <c r="BM5" t="s">
        <v>478</v>
      </c>
      <c r="BN5">
        <v>20</v>
      </c>
      <c r="BO5" t="s">
        <v>33</v>
      </c>
      <c r="BP5">
        <v>6.8</v>
      </c>
      <c r="BQ5">
        <v>136</v>
      </c>
      <c r="BR5" t="s">
        <v>479</v>
      </c>
      <c r="BS5" s="3">
        <v>45672</v>
      </c>
      <c r="BU5">
        <v>3</v>
      </c>
      <c r="BV5" t="s">
        <v>512</v>
      </c>
      <c r="BW5">
        <v>10</v>
      </c>
      <c r="BX5" t="s">
        <v>33</v>
      </c>
      <c r="BY5">
        <v>6</v>
      </c>
      <c r="BZ5">
        <v>60</v>
      </c>
      <c r="CA5" t="s">
        <v>477</v>
      </c>
      <c r="CB5" s="3">
        <v>45369</v>
      </c>
      <c r="CD5">
        <v>3</v>
      </c>
      <c r="CE5" t="s">
        <v>520</v>
      </c>
      <c r="CF5">
        <v>10</v>
      </c>
      <c r="CG5" t="s">
        <v>71</v>
      </c>
      <c r="CH5">
        <v>9.5</v>
      </c>
      <c r="CI5">
        <v>95</v>
      </c>
      <c r="CJ5" t="s">
        <v>499</v>
      </c>
      <c r="CK5" s="3">
        <v>45756</v>
      </c>
      <c r="CM5">
        <v>3</v>
      </c>
      <c r="CN5" t="s">
        <v>527</v>
      </c>
      <c r="CO5">
        <v>1</v>
      </c>
      <c r="CP5" t="s">
        <v>42</v>
      </c>
      <c r="CQ5">
        <v>180</v>
      </c>
      <c r="CR5">
        <v>180</v>
      </c>
      <c r="CS5" t="s">
        <v>479</v>
      </c>
      <c r="CT5" s="3">
        <v>45672</v>
      </c>
    </row>
    <row r="6" spans="1:98" x14ac:dyDescent="0.25">
      <c r="A6">
        <v>4</v>
      </c>
      <c r="B6" t="s">
        <v>493</v>
      </c>
      <c r="C6">
        <v>1</v>
      </c>
      <c r="D6" t="s">
        <v>48</v>
      </c>
      <c r="E6">
        <v>85</v>
      </c>
      <c r="F6" s="3">
        <v>85</v>
      </c>
      <c r="G6" t="s">
        <v>479</v>
      </c>
      <c r="H6" s="3">
        <v>45672</v>
      </c>
      <c r="I6" s="3"/>
      <c r="J6">
        <v>4</v>
      </c>
      <c r="K6" t="s">
        <v>559</v>
      </c>
      <c r="L6">
        <v>1</v>
      </c>
      <c r="M6" t="s">
        <v>16</v>
      </c>
      <c r="N6">
        <v>65</v>
      </c>
      <c r="O6">
        <v>65</v>
      </c>
      <c r="P6" t="s">
        <v>557</v>
      </c>
      <c r="Q6" s="3">
        <v>45902</v>
      </c>
      <c r="R6" s="3"/>
      <c r="S6">
        <v>4</v>
      </c>
      <c r="T6" t="s">
        <v>448</v>
      </c>
      <c r="U6">
        <v>1</v>
      </c>
      <c r="V6" t="s">
        <v>50</v>
      </c>
      <c r="W6">
        <v>205</v>
      </c>
      <c r="X6">
        <v>205</v>
      </c>
      <c r="Y6" t="s">
        <v>449</v>
      </c>
      <c r="Z6" s="3">
        <v>45000</v>
      </c>
      <c r="AB6">
        <v>4</v>
      </c>
      <c r="AC6" t="s">
        <v>503</v>
      </c>
      <c r="AD6">
        <v>10</v>
      </c>
      <c r="AE6" t="s">
        <v>33</v>
      </c>
      <c r="AF6">
        <v>9.5</v>
      </c>
      <c r="AG6">
        <v>95</v>
      </c>
      <c r="AH6" t="s">
        <v>504</v>
      </c>
      <c r="AI6" s="3">
        <v>45798</v>
      </c>
      <c r="AK6">
        <v>4</v>
      </c>
      <c r="AL6" t="s">
        <v>461</v>
      </c>
      <c r="AM6">
        <v>3</v>
      </c>
      <c r="AN6" t="s">
        <v>33</v>
      </c>
      <c r="AO6">
        <v>3</v>
      </c>
      <c r="AP6">
        <v>9</v>
      </c>
      <c r="AQ6" t="s">
        <v>432</v>
      </c>
      <c r="AR6" s="3">
        <v>44938</v>
      </c>
      <c r="AT6">
        <v>4</v>
      </c>
      <c r="AU6" t="s">
        <v>467</v>
      </c>
      <c r="AV6">
        <v>1</v>
      </c>
      <c r="AW6" t="s">
        <v>33</v>
      </c>
      <c r="AX6">
        <v>1.4</v>
      </c>
      <c r="AY6">
        <v>1.4</v>
      </c>
      <c r="AZ6" t="s">
        <v>434</v>
      </c>
      <c r="BA6" s="3">
        <v>45006</v>
      </c>
      <c r="BJ6" s="3"/>
      <c r="BL6">
        <v>4</v>
      </c>
      <c r="BM6" t="s">
        <v>480</v>
      </c>
      <c r="BN6">
        <v>10</v>
      </c>
      <c r="BO6" t="s">
        <v>33</v>
      </c>
      <c r="BP6">
        <v>9.1999999999999993</v>
      </c>
      <c r="BQ6">
        <v>92</v>
      </c>
      <c r="BR6" t="s">
        <v>481</v>
      </c>
      <c r="BS6" s="3">
        <v>45702</v>
      </c>
      <c r="BU6">
        <v>4</v>
      </c>
      <c r="BV6" t="s">
        <v>513</v>
      </c>
      <c r="BW6">
        <v>50</v>
      </c>
      <c r="BX6" t="s">
        <v>514</v>
      </c>
      <c r="BY6">
        <v>0.6</v>
      </c>
      <c r="BZ6">
        <v>30</v>
      </c>
      <c r="CA6" t="s">
        <v>479</v>
      </c>
      <c r="CB6" s="3">
        <v>45672</v>
      </c>
      <c r="CD6">
        <v>4</v>
      </c>
      <c r="CE6" t="s">
        <v>521</v>
      </c>
      <c r="CF6">
        <v>5</v>
      </c>
      <c r="CG6" t="s">
        <v>33</v>
      </c>
      <c r="CH6">
        <v>22</v>
      </c>
      <c r="CI6">
        <v>110</v>
      </c>
      <c r="CJ6" t="s">
        <v>487</v>
      </c>
      <c r="CK6" s="3">
        <v>45756</v>
      </c>
      <c r="CM6">
        <v>4</v>
      </c>
      <c r="CN6" t="s">
        <v>528</v>
      </c>
      <c r="CO6">
        <v>10</v>
      </c>
      <c r="CP6" t="s">
        <v>529</v>
      </c>
      <c r="CQ6">
        <v>3.5</v>
      </c>
      <c r="CR6">
        <v>35</v>
      </c>
      <c r="CS6" t="s">
        <v>495</v>
      </c>
      <c r="CT6" s="3">
        <v>45705</v>
      </c>
    </row>
    <row r="7" spans="1:98" x14ac:dyDescent="0.25">
      <c r="A7">
        <v>5</v>
      </c>
      <c r="B7" t="s">
        <v>494</v>
      </c>
      <c r="C7">
        <v>2</v>
      </c>
      <c r="D7" t="s">
        <v>48</v>
      </c>
      <c r="E7">
        <v>260</v>
      </c>
      <c r="F7" s="3">
        <v>520</v>
      </c>
      <c r="G7" t="s">
        <v>495</v>
      </c>
      <c r="H7" s="3">
        <v>45705</v>
      </c>
      <c r="I7" s="3"/>
      <c r="J7">
        <v>5</v>
      </c>
      <c r="K7" t="s">
        <v>599</v>
      </c>
      <c r="L7">
        <v>1</v>
      </c>
      <c r="M7" t="s">
        <v>596</v>
      </c>
      <c r="N7">
        <v>30</v>
      </c>
      <c r="R7" s="3"/>
      <c r="S7">
        <v>5</v>
      </c>
      <c r="T7" t="s">
        <v>450</v>
      </c>
      <c r="U7">
        <v>10</v>
      </c>
      <c r="V7" t="s">
        <v>33</v>
      </c>
      <c r="W7">
        <v>1.2</v>
      </c>
      <c r="X7">
        <v>12</v>
      </c>
      <c r="Y7" t="s">
        <v>432</v>
      </c>
      <c r="Z7" s="3">
        <v>44938</v>
      </c>
      <c r="AB7">
        <v>5</v>
      </c>
      <c r="AC7" t="s">
        <v>505</v>
      </c>
      <c r="AD7">
        <v>20</v>
      </c>
      <c r="AE7" t="s">
        <v>33</v>
      </c>
      <c r="AF7">
        <v>3.2</v>
      </c>
      <c r="AG7">
        <v>64</v>
      </c>
      <c r="AH7" t="s">
        <v>506</v>
      </c>
      <c r="AI7" s="3">
        <v>45798</v>
      </c>
      <c r="AK7">
        <v>5</v>
      </c>
      <c r="AL7" t="s">
        <v>462</v>
      </c>
      <c r="AM7">
        <v>2</v>
      </c>
      <c r="AN7" t="s">
        <v>33</v>
      </c>
      <c r="AO7">
        <v>2.5</v>
      </c>
      <c r="AP7">
        <v>5</v>
      </c>
      <c r="AQ7" t="s">
        <v>432</v>
      </c>
      <c r="AR7" s="3">
        <v>44938</v>
      </c>
      <c r="AT7">
        <v>5</v>
      </c>
      <c r="AU7" t="s">
        <v>468</v>
      </c>
      <c r="AV7">
        <v>1</v>
      </c>
      <c r="AW7" t="s">
        <v>33</v>
      </c>
      <c r="AX7">
        <v>3.5</v>
      </c>
      <c r="AY7">
        <v>3.5</v>
      </c>
      <c r="AZ7" t="s">
        <v>434</v>
      </c>
      <c r="BA7" s="3">
        <v>45006</v>
      </c>
      <c r="BJ7" s="3"/>
      <c r="BL7">
        <v>5</v>
      </c>
      <c r="BM7" t="s">
        <v>482</v>
      </c>
      <c r="BN7">
        <v>1</v>
      </c>
      <c r="BO7" t="s">
        <v>42</v>
      </c>
      <c r="BP7">
        <v>185</v>
      </c>
      <c r="BQ7">
        <v>185</v>
      </c>
      <c r="BR7" t="s">
        <v>483</v>
      </c>
      <c r="BS7" s="3">
        <v>45694</v>
      </c>
      <c r="BU7">
        <v>5</v>
      </c>
      <c r="BV7" t="s">
        <v>515</v>
      </c>
      <c r="BW7">
        <v>20</v>
      </c>
      <c r="BX7" t="s">
        <v>514</v>
      </c>
      <c r="BY7">
        <v>3.2</v>
      </c>
      <c r="BZ7">
        <v>64</v>
      </c>
      <c r="CA7" t="s">
        <v>492</v>
      </c>
      <c r="CB7" s="3">
        <v>45700</v>
      </c>
      <c r="CD7">
        <v>5</v>
      </c>
      <c r="CE7" t="s">
        <v>522</v>
      </c>
      <c r="CF7">
        <v>10</v>
      </c>
      <c r="CG7" t="s">
        <v>33</v>
      </c>
      <c r="CH7">
        <v>18</v>
      </c>
      <c r="CI7">
        <v>180</v>
      </c>
      <c r="CJ7" t="s">
        <v>523</v>
      </c>
      <c r="CK7" s="3">
        <v>45756</v>
      </c>
      <c r="CM7">
        <v>5</v>
      </c>
      <c r="CN7" t="s">
        <v>530</v>
      </c>
      <c r="CO7">
        <v>2</v>
      </c>
      <c r="CP7" t="s">
        <v>33</v>
      </c>
      <c r="CQ7">
        <v>65</v>
      </c>
      <c r="CR7">
        <v>130</v>
      </c>
      <c r="CS7" t="s">
        <v>506</v>
      </c>
      <c r="CT7" s="3">
        <v>45798</v>
      </c>
    </row>
    <row r="8" spans="1:98" x14ac:dyDescent="0.25">
      <c r="A8">
        <v>6</v>
      </c>
      <c r="B8" t="s">
        <v>496</v>
      </c>
      <c r="C8">
        <v>1</v>
      </c>
      <c r="D8" t="s">
        <v>48</v>
      </c>
      <c r="E8">
        <v>18</v>
      </c>
      <c r="F8" s="3">
        <v>18</v>
      </c>
      <c r="G8" t="s">
        <v>434</v>
      </c>
      <c r="H8" s="3">
        <v>45006</v>
      </c>
      <c r="I8" s="3"/>
      <c r="J8">
        <v>6</v>
      </c>
      <c r="K8" t="s">
        <v>595</v>
      </c>
      <c r="L8">
        <v>1</v>
      </c>
      <c r="M8" t="s">
        <v>596</v>
      </c>
      <c r="N8">
        <v>60</v>
      </c>
      <c r="R8" s="3"/>
      <c r="T8" t="s">
        <v>451</v>
      </c>
      <c r="U8">
        <v>2</v>
      </c>
      <c r="V8" t="s">
        <v>33</v>
      </c>
      <c r="W8">
        <v>4.5</v>
      </c>
      <c r="X8">
        <v>9</v>
      </c>
      <c r="Y8" t="s">
        <v>432</v>
      </c>
      <c r="Z8" s="3">
        <v>44938</v>
      </c>
      <c r="AK8">
        <v>6</v>
      </c>
      <c r="AL8" t="s">
        <v>490</v>
      </c>
      <c r="AM8">
        <v>20</v>
      </c>
      <c r="AN8" t="s">
        <v>33</v>
      </c>
      <c r="AO8">
        <v>3.8</v>
      </c>
      <c r="AP8">
        <v>76</v>
      </c>
      <c r="AQ8" t="s">
        <v>449</v>
      </c>
      <c r="AR8" s="3">
        <v>45000</v>
      </c>
      <c r="AT8">
        <v>6</v>
      </c>
      <c r="AU8" t="s">
        <v>486</v>
      </c>
      <c r="AV8">
        <v>5</v>
      </c>
      <c r="AW8" t="s">
        <v>33</v>
      </c>
      <c r="AX8">
        <v>5.8</v>
      </c>
      <c r="AY8">
        <v>29</v>
      </c>
      <c r="AZ8" t="s">
        <v>487</v>
      </c>
      <c r="BA8" s="3">
        <v>45756</v>
      </c>
      <c r="BJ8" s="3"/>
      <c r="CD8">
        <v>6</v>
      </c>
      <c r="CE8" t="s">
        <v>565</v>
      </c>
      <c r="CF8">
        <v>5</v>
      </c>
      <c r="CG8" t="s">
        <v>7</v>
      </c>
      <c r="CH8">
        <v>15</v>
      </c>
      <c r="CI8">
        <v>75</v>
      </c>
      <c r="CJ8" t="s">
        <v>557</v>
      </c>
      <c r="CK8" s="3">
        <v>45902</v>
      </c>
    </row>
    <row r="9" spans="1:98" x14ac:dyDescent="0.25">
      <c r="B9" t="s">
        <v>563</v>
      </c>
      <c r="C9">
        <v>1</v>
      </c>
      <c r="D9" t="s">
        <v>564</v>
      </c>
      <c r="E9">
        <v>85</v>
      </c>
      <c r="F9" s="3">
        <v>85</v>
      </c>
      <c r="G9" t="s">
        <v>557</v>
      </c>
      <c r="H9" s="3">
        <v>45902</v>
      </c>
      <c r="I9" s="3"/>
      <c r="J9">
        <v>7</v>
      </c>
      <c r="K9" t="s">
        <v>600</v>
      </c>
      <c r="L9">
        <v>1</v>
      </c>
      <c r="M9" t="s">
        <v>36</v>
      </c>
      <c r="N9">
        <v>0.3</v>
      </c>
      <c r="R9" s="3"/>
      <c r="T9" t="s">
        <v>452</v>
      </c>
      <c r="U9">
        <v>20</v>
      </c>
      <c r="V9" t="s">
        <v>33</v>
      </c>
      <c r="W9">
        <v>0.8</v>
      </c>
      <c r="X9">
        <v>16</v>
      </c>
      <c r="Y9" t="s">
        <v>449</v>
      </c>
      <c r="Z9" s="3">
        <v>45000</v>
      </c>
      <c r="AK9">
        <v>7</v>
      </c>
      <c r="AL9" t="s">
        <v>491</v>
      </c>
      <c r="AM9">
        <v>5</v>
      </c>
      <c r="AN9" t="s">
        <v>33</v>
      </c>
      <c r="AO9">
        <v>7.2</v>
      </c>
      <c r="AP9">
        <v>36</v>
      </c>
      <c r="AQ9" t="s">
        <v>492</v>
      </c>
      <c r="AR9" s="3">
        <v>45700</v>
      </c>
      <c r="BA9" s="3"/>
      <c r="CD9">
        <v>7</v>
      </c>
      <c r="CE9" t="s">
        <v>566</v>
      </c>
      <c r="CF9">
        <v>1</v>
      </c>
      <c r="CG9" t="s">
        <v>7</v>
      </c>
      <c r="CH9">
        <v>17</v>
      </c>
      <c r="CI9">
        <v>17</v>
      </c>
      <c r="CJ9" t="s">
        <v>557</v>
      </c>
      <c r="CK9" s="3">
        <v>45902</v>
      </c>
    </row>
    <row r="10" spans="1:98" x14ac:dyDescent="0.25">
      <c r="F10" s="3"/>
      <c r="I10" s="3"/>
      <c r="J10">
        <v>8</v>
      </c>
      <c r="K10" t="s">
        <v>597</v>
      </c>
      <c r="L10">
        <v>1</v>
      </c>
      <c r="M10" t="s">
        <v>36</v>
      </c>
      <c r="N10">
        <v>1.1000000000000001</v>
      </c>
      <c r="R10" s="3"/>
      <c r="T10" t="s">
        <v>453</v>
      </c>
      <c r="U10">
        <v>1</v>
      </c>
      <c r="V10" t="s">
        <v>48</v>
      </c>
      <c r="W10">
        <v>12</v>
      </c>
      <c r="X10">
        <v>12</v>
      </c>
      <c r="Y10" t="s">
        <v>449</v>
      </c>
      <c r="Z10" s="3">
        <v>45000</v>
      </c>
      <c r="AK10">
        <v>8</v>
      </c>
      <c r="AL10" t="s">
        <v>548</v>
      </c>
      <c r="AM10">
        <v>1</v>
      </c>
      <c r="AN10" t="s">
        <v>7</v>
      </c>
      <c r="AO10">
        <v>85</v>
      </c>
      <c r="AP10">
        <v>85</v>
      </c>
      <c r="AQ10" t="s">
        <v>545</v>
      </c>
      <c r="AR10" s="3">
        <v>45930</v>
      </c>
      <c r="CD10">
        <v>8</v>
      </c>
      <c r="CE10" t="s">
        <v>567</v>
      </c>
      <c r="CF10">
        <v>2</v>
      </c>
      <c r="CG10" t="s">
        <v>543</v>
      </c>
      <c r="CH10">
        <v>12.6</v>
      </c>
      <c r="CI10">
        <v>25.2</v>
      </c>
      <c r="CJ10" t="s">
        <v>557</v>
      </c>
      <c r="CK10" s="3">
        <v>45902</v>
      </c>
    </row>
    <row r="11" spans="1:98" x14ac:dyDescent="0.25">
      <c r="F11" s="3"/>
      <c r="I11" s="3"/>
      <c r="J11">
        <v>9</v>
      </c>
      <c r="K11" t="s">
        <v>438</v>
      </c>
      <c r="L11">
        <v>200</v>
      </c>
      <c r="M11" t="s">
        <v>33</v>
      </c>
      <c r="N11">
        <v>0.13</v>
      </c>
      <c r="O11">
        <v>26</v>
      </c>
      <c r="P11" t="s">
        <v>439</v>
      </c>
      <c r="Q11" s="3">
        <v>44911</v>
      </c>
      <c r="R11" s="3"/>
      <c r="T11" t="s">
        <v>500</v>
      </c>
      <c r="U11">
        <v>1</v>
      </c>
      <c r="V11" t="s">
        <v>447</v>
      </c>
      <c r="W11">
        <v>95</v>
      </c>
      <c r="X11">
        <v>95</v>
      </c>
      <c r="Y11" t="s">
        <v>501</v>
      </c>
      <c r="Z11" s="3">
        <v>45798</v>
      </c>
      <c r="AK11">
        <v>9</v>
      </c>
      <c r="AL11" t="s">
        <v>549</v>
      </c>
      <c r="AM11">
        <v>1</v>
      </c>
      <c r="AN11" t="s">
        <v>11</v>
      </c>
      <c r="AO11">
        <v>15</v>
      </c>
      <c r="AP11">
        <v>15</v>
      </c>
      <c r="AQ11" t="s">
        <v>545</v>
      </c>
      <c r="AR11" s="3">
        <v>45930</v>
      </c>
      <c r="CD11">
        <v>9</v>
      </c>
      <c r="CE11" t="s">
        <v>568</v>
      </c>
      <c r="CF11">
        <v>5</v>
      </c>
      <c r="CG11" t="s">
        <v>11</v>
      </c>
      <c r="CH11">
        <v>1</v>
      </c>
      <c r="CI11">
        <v>5</v>
      </c>
      <c r="CJ11" t="s">
        <v>557</v>
      </c>
      <c r="CK11" s="3">
        <v>45902</v>
      </c>
    </row>
    <row r="12" spans="1:98" x14ac:dyDescent="0.25">
      <c r="F12" s="3"/>
      <c r="I12" s="3"/>
      <c r="J12">
        <v>10</v>
      </c>
      <c r="K12" t="s">
        <v>601</v>
      </c>
      <c r="L12">
        <v>1</v>
      </c>
      <c r="M12" t="s">
        <v>36</v>
      </c>
      <c r="N12">
        <v>0.12</v>
      </c>
      <c r="S12">
        <v>10</v>
      </c>
      <c r="T12" t="s">
        <v>502</v>
      </c>
      <c r="U12">
        <v>2</v>
      </c>
      <c r="V12" t="s">
        <v>38</v>
      </c>
      <c r="W12">
        <v>62</v>
      </c>
      <c r="X12">
        <v>124</v>
      </c>
      <c r="Y12" t="s">
        <v>485</v>
      </c>
      <c r="Z12" s="3">
        <v>45798</v>
      </c>
      <c r="AK12">
        <v>10</v>
      </c>
      <c r="AL12" t="s">
        <v>550</v>
      </c>
      <c r="AM12">
        <v>1</v>
      </c>
      <c r="AN12" t="s">
        <v>11</v>
      </c>
      <c r="AO12">
        <v>15</v>
      </c>
      <c r="AP12">
        <v>15</v>
      </c>
      <c r="AQ12" t="s">
        <v>545</v>
      </c>
      <c r="AR12" s="3">
        <v>45930</v>
      </c>
      <c r="CD12">
        <v>10</v>
      </c>
      <c r="CE12" t="s">
        <v>569</v>
      </c>
      <c r="CF12">
        <v>5</v>
      </c>
      <c r="CG12" t="s">
        <v>11</v>
      </c>
      <c r="CH12">
        <v>3</v>
      </c>
      <c r="CI12">
        <v>15</v>
      </c>
      <c r="CJ12" t="s">
        <v>557</v>
      </c>
      <c r="CK12" s="3">
        <v>45902</v>
      </c>
    </row>
    <row r="13" spans="1:98" x14ac:dyDescent="0.25">
      <c r="F13" s="3"/>
      <c r="I13" s="3"/>
      <c r="J13">
        <v>11</v>
      </c>
      <c r="K13" t="s">
        <v>598</v>
      </c>
      <c r="L13">
        <v>1</v>
      </c>
      <c r="M13" t="s">
        <v>36</v>
      </c>
      <c r="N13">
        <v>0.5</v>
      </c>
    </row>
    <row r="14" spans="1:98" x14ac:dyDescent="0.25">
      <c r="F14" s="3"/>
      <c r="J14">
        <v>12</v>
      </c>
      <c r="K14" t="s">
        <v>561</v>
      </c>
      <c r="L14">
        <v>3</v>
      </c>
      <c r="M14" t="s">
        <v>12</v>
      </c>
      <c r="N14">
        <v>8</v>
      </c>
      <c r="O14">
        <v>24</v>
      </c>
      <c r="P14" t="s">
        <v>557</v>
      </c>
      <c r="Q14" s="3">
        <v>45902</v>
      </c>
    </row>
    <row r="15" spans="1:98" x14ac:dyDescent="0.25">
      <c r="F15" s="3"/>
      <c r="J15">
        <v>13</v>
      </c>
      <c r="K15" t="s">
        <v>562</v>
      </c>
      <c r="L15">
        <v>3</v>
      </c>
      <c r="M15" t="s">
        <v>12</v>
      </c>
      <c r="N15">
        <v>8</v>
      </c>
      <c r="O15">
        <v>24</v>
      </c>
      <c r="P15" t="s">
        <v>557</v>
      </c>
      <c r="Q15" s="3">
        <v>45902</v>
      </c>
    </row>
    <row r="16" spans="1:98" x14ac:dyDescent="0.25">
      <c r="J16">
        <v>14</v>
      </c>
      <c r="K16" t="s">
        <v>498</v>
      </c>
      <c r="L16">
        <v>50</v>
      </c>
      <c r="M16" t="s">
        <v>33</v>
      </c>
      <c r="N16">
        <v>1.8</v>
      </c>
      <c r="O16">
        <v>90</v>
      </c>
      <c r="P16" t="s">
        <v>499</v>
      </c>
      <c r="Q16" s="3">
        <v>45756</v>
      </c>
    </row>
    <row r="17" spans="10:17" x14ac:dyDescent="0.25">
      <c r="J17">
        <v>15</v>
      </c>
      <c r="K17" t="s">
        <v>440</v>
      </c>
      <c r="L17">
        <v>30</v>
      </c>
      <c r="M17" t="s">
        <v>33</v>
      </c>
      <c r="N17">
        <v>2.2000000000000002</v>
      </c>
      <c r="O17">
        <v>66</v>
      </c>
      <c r="P17" t="s">
        <v>439</v>
      </c>
      <c r="Q17" s="3">
        <v>44911</v>
      </c>
    </row>
  </sheetData>
  <sortState xmlns:xlrd2="http://schemas.microsoft.com/office/spreadsheetml/2017/richdata2" ref="K4:Q17">
    <sortCondition ref="K3:K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598E-ACF6-47E2-A240-7C6BA0F8E331}">
  <dimension ref="A1:I22"/>
  <sheetViews>
    <sheetView zoomScale="75" zoomScaleNormal="75" workbookViewId="0">
      <selection activeCell="B41" sqref="B41"/>
    </sheetView>
  </sheetViews>
  <sheetFormatPr defaultRowHeight="15" x14ac:dyDescent="0.25"/>
  <cols>
    <col min="1" max="1" width="3.7109375" bestFit="1" customWidth="1"/>
    <col min="2" max="2" width="52.140625" bestFit="1" customWidth="1"/>
    <col min="3" max="3" width="4.28515625" bestFit="1" customWidth="1"/>
    <col min="4" max="4" width="5.7109375" bestFit="1" customWidth="1"/>
    <col min="5" max="5" width="14.42578125" bestFit="1" customWidth="1"/>
    <col min="6" max="6" width="10.28515625" bestFit="1" customWidth="1"/>
    <col min="7" max="7" width="13.28515625" bestFit="1" customWidth="1"/>
    <col min="8" max="8" width="10.85546875" bestFit="1" customWidth="1"/>
    <col min="9" max="9" width="10.7109375" bestFit="1" customWidth="1"/>
  </cols>
  <sheetData>
    <row r="1" spans="1:9" x14ac:dyDescent="0.25">
      <c r="A1" s="6"/>
      <c r="B1" s="6" t="s">
        <v>205</v>
      </c>
      <c r="C1" s="6"/>
      <c r="D1" s="6"/>
      <c r="E1" s="6"/>
      <c r="F1" s="6"/>
      <c r="G1" s="6"/>
      <c r="H1" s="6"/>
      <c r="I1" s="2"/>
    </row>
    <row r="2" spans="1:9" x14ac:dyDescent="0.25">
      <c r="A2" s="7" t="s">
        <v>0</v>
      </c>
      <c r="B2" s="7" t="s">
        <v>21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</row>
    <row r="3" spans="1:9" x14ac:dyDescent="0.25">
      <c r="A3">
        <v>1</v>
      </c>
      <c r="B3" t="s">
        <v>184</v>
      </c>
      <c r="C3">
        <v>1</v>
      </c>
      <c r="D3" t="s">
        <v>185</v>
      </c>
      <c r="E3">
        <v>6.1</v>
      </c>
    </row>
    <row r="4" spans="1:9" x14ac:dyDescent="0.25">
      <c r="A4">
        <v>2</v>
      </c>
      <c r="B4" t="s">
        <v>186</v>
      </c>
      <c r="C4">
        <v>1</v>
      </c>
      <c r="D4" t="s">
        <v>185</v>
      </c>
      <c r="E4">
        <v>7.2</v>
      </c>
    </row>
    <row r="5" spans="1:9" x14ac:dyDescent="0.25">
      <c r="A5">
        <v>3</v>
      </c>
      <c r="B5" t="s">
        <v>187</v>
      </c>
      <c r="C5">
        <v>1</v>
      </c>
      <c r="D5" t="s">
        <v>185</v>
      </c>
      <c r="E5">
        <v>7.4</v>
      </c>
    </row>
    <row r="6" spans="1:9" x14ac:dyDescent="0.25">
      <c r="A6">
        <v>4</v>
      </c>
      <c r="B6" t="s">
        <v>188</v>
      </c>
      <c r="C6">
        <v>1</v>
      </c>
      <c r="D6" t="s">
        <v>185</v>
      </c>
      <c r="E6">
        <v>6.3</v>
      </c>
    </row>
    <row r="7" spans="1:9" x14ac:dyDescent="0.25">
      <c r="A7">
        <v>5</v>
      </c>
      <c r="B7" t="s">
        <v>189</v>
      </c>
      <c r="C7">
        <v>1</v>
      </c>
      <c r="D7" t="s">
        <v>185</v>
      </c>
      <c r="E7">
        <v>7.5</v>
      </c>
    </row>
    <row r="8" spans="1:9" x14ac:dyDescent="0.25">
      <c r="A8">
        <v>6</v>
      </c>
      <c r="B8" t="s">
        <v>190</v>
      </c>
      <c r="C8">
        <v>1</v>
      </c>
      <c r="D8" t="s">
        <v>185</v>
      </c>
      <c r="E8">
        <v>7.8</v>
      </c>
      <c r="I8" s="3"/>
    </row>
    <row r="9" spans="1:9" x14ac:dyDescent="0.25">
      <c r="A9">
        <v>7</v>
      </c>
      <c r="B9" t="s">
        <v>191</v>
      </c>
      <c r="C9">
        <v>1</v>
      </c>
      <c r="D9" t="s">
        <v>185</v>
      </c>
      <c r="E9">
        <v>9.1</v>
      </c>
    </row>
    <row r="10" spans="1:9" x14ac:dyDescent="0.25">
      <c r="A10">
        <v>8</v>
      </c>
      <c r="B10" t="s">
        <v>192</v>
      </c>
      <c r="C10">
        <v>1</v>
      </c>
      <c r="D10" t="s">
        <v>185</v>
      </c>
      <c r="E10">
        <v>11.4</v>
      </c>
    </row>
    <row r="11" spans="1:9" x14ac:dyDescent="0.25">
      <c r="A11">
        <v>9</v>
      </c>
      <c r="B11" t="s">
        <v>193</v>
      </c>
      <c r="C11">
        <v>1</v>
      </c>
      <c r="D11" t="s">
        <v>185</v>
      </c>
      <c r="E11">
        <v>11.6</v>
      </c>
    </row>
    <row r="12" spans="1:9" x14ac:dyDescent="0.25">
      <c r="A12">
        <v>10</v>
      </c>
      <c r="B12" t="s">
        <v>194</v>
      </c>
      <c r="C12">
        <v>1</v>
      </c>
      <c r="D12" t="s">
        <v>185</v>
      </c>
      <c r="E12">
        <v>11.6</v>
      </c>
    </row>
    <row r="13" spans="1:9" x14ac:dyDescent="0.25">
      <c r="A13">
        <v>11</v>
      </c>
      <c r="B13" t="s">
        <v>195</v>
      </c>
      <c r="C13">
        <v>1</v>
      </c>
      <c r="D13" t="s">
        <v>185</v>
      </c>
      <c r="E13">
        <v>13.9</v>
      </c>
    </row>
    <row r="14" spans="1:9" x14ac:dyDescent="0.25">
      <c r="A14">
        <v>12</v>
      </c>
      <c r="B14" t="s">
        <v>196</v>
      </c>
      <c r="C14">
        <v>1</v>
      </c>
      <c r="D14" t="s">
        <v>185</v>
      </c>
      <c r="E14">
        <v>14.2</v>
      </c>
    </row>
    <row r="15" spans="1:9" x14ac:dyDescent="0.25">
      <c r="A15">
        <v>13</v>
      </c>
      <c r="B15" t="s">
        <v>197</v>
      </c>
      <c r="C15">
        <v>1</v>
      </c>
      <c r="D15" t="s">
        <v>36</v>
      </c>
      <c r="E15">
        <v>20</v>
      </c>
    </row>
    <row r="16" spans="1:9" x14ac:dyDescent="0.25">
      <c r="A16">
        <v>14</v>
      </c>
      <c r="B16" t="s">
        <v>198</v>
      </c>
      <c r="C16">
        <v>1</v>
      </c>
      <c r="D16" t="s">
        <v>36</v>
      </c>
      <c r="E16">
        <v>8.5</v>
      </c>
    </row>
    <row r="17" spans="1:5" x14ac:dyDescent="0.25">
      <c r="A17">
        <v>15</v>
      </c>
      <c r="B17" t="s">
        <v>199</v>
      </c>
      <c r="C17">
        <v>1</v>
      </c>
      <c r="D17" t="s">
        <v>36</v>
      </c>
      <c r="E17">
        <v>11.5</v>
      </c>
    </row>
    <row r="18" spans="1:5" x14ac:dyDescent="0.25">
      <c r="A18">
        <v>16</v>
      </c>
      <c r="B18" t="s">
        <v>200</v>
      </c>
      <c r="C18">
        <v>1</v>
      </c>
      <c r="D18" t="s">
        <v>36</v>
      </c>
      <c r="E18">
        <v>3.8</v>
      </c>
    </row>
    <row r="19" spans="1:5" x14ac:dyDescent="0.25">
      <c r="A19">
        <v>17</v>
      </c>
      <c r="B19" t="s">
        <v>201</v>
      </c>
      <c r="C19">
        <v>1</v>
      </c>
      <c r="D19" t="s">
        <v>36</v>
      </c>
      <c r="E19">
        <v>7.5</v>
      </c>
    </row>
    <row r="20" spans="1:5" x14ac:dyDescent="0.25">
      <c r="A20">
        <v>18</v>
      </c>
      <c r="B20" t="s">
        <v>202</v>
      </c>
      <c r="C20">
        <v>1</v>
      </c>
      <c r="D20" t="s">
        <v>36</v>
      </c>
      <c r="E20">
        <v>0.7</v>
      </c>
    </row>
    <row r="21" spans="1:5" x14ac:dyDescent="0.25">
      <c r="A21">
        <v>19</v>
      </c>
      <c r="B21" t="s">
        <v>203</v>
      </c>
      <c r="C21">
        <v>1</v>
      </c>
      <c r="D21" t="s">
        <v>36</v>
      </c>
      <c r="E21">
        <v>0.8</v>
      </c>
    </row>
    <row r="22" spans="1:5" x14ac:dyDescent="0.25">
      <c r="A22">
        <v>20</v>
      </c>
      <c r="B22" t="s">
        <v>204</v>
      </c>
      <c r="C22">
        <v>1</v>
      </c>
      <c r="D22" t="s">
        <v>36</v>
      </c>
      <c r="E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A2E-731E-4535-9CA7-987807D80392}">
  <dimension ref="A1:EQ60"/>
  <sheetViews>
    <sheetView tabSelected="1" topLeftCell="BH1" zoomScale="75" zoomScaleNormal="75" workbookViewId="0">
      <selection activeCell="BV14" sqref="BV14"/>
    </sheetView>
  </sheetViews>
  <sheetFormatPr defaultRowHeight="15" x14ac:dyDescent="0.25"/>
  <cols>
    <col min="1" max="1" width="3.7109375" bestFit="1" customWidth="1"/>
    <col min="2" max="2" width="38.5703125" bestFit="1" customWidth="1"/>
    <col min="3" max="3" width="5.85546875" bestFit="1" customWidth="1"/>
    <col min="4" max="4" width="6.5703125" bestFit="1" customWidth="1"/>
    <col min="5" max="5" width="14.7109375" bestFit="1" customWidth="1"/>
    <col min="6" max="6" width="10.28515625" bestFit="1" customWidth="1"/>
    <col min="7" max="7" width="13.28515625" bestFit="1" customWidth="1"/>
    <col min="8" max="8" width="10.85546875" bestFit="1" customWidth="1"/>
    <col min="9" max="9" width="1.7109375" customWidth="1"/>
    <col min="10" max="10" width="3.7109375" bestFit="1" customWidth="1"/>
    <col min="11" max="11" width="44.85546875" bestFit="1" customWidth="1"/>
    <col min="12" max="12" width="4.5703125" bestFit="1" customWidth="1"/>
    <col min="13" max="13" width="5.85546875" bestFit="1" customWidth="1"/>
    <col min="14" max="14" width="14.7109375" bestFit="1" customWidth="1"/>
    <col min="15" max="15" width="10.28515625" bestFit="1" customWidth="1"/>
    <col min="16" max="16" width="13.28515625" bestFit="1" customWidth="1"/>
    <col min="17" max="17" width="10.85546875" bestFit="1" customWidth="1"/>
    <col min="18" max="18" width="1.7109375" customWidth="1"/>
    <col min="19" max="19" width="3.7109375" bestFit="1" customWidth="1"/>
    <col min="20" max="20" width="41.85546875" bestFit="1" customWidth="1"/>
    <col min="21" max="21" width="4.5703125" bestFit="1" customWidth="1"/>
    <col min="22" max="22" width="5.85546875" bestFit="1" customWidth="1"/>
    <col min="23" max="23" width="14.7109375" bestFit="1" customWidth="1"/>
    <col min="24" max="24" width="10.28515625" bestFit="1" customWidth="1"/>
    <col min="25" max="25" width="13.28515625" bestFit="1" customWidth="1"/>
    <col min="26" max="26" width="10.85546875" bestFit="1" customWidth="1"/>
    <col min="27" max="27" width="14.7109375" bestFit="1" customWidth="1"/>
    <col min="28" max="28" width="3.7109375" bestFit="1" customWidth="1"/>
    <col min="29" max="29" width="64.28515625" bestFit="1" customWidth="1"/>
    <col min="30" max="30" width="4.5703125" bestFit="1" customWidth="1"/>
    <col min="31" max="31" width="6.42578125" bestFit="1" customWidth="1"/>
    <col min="32" max="32" width="14.7109375" bestFit="1" customWidth="1"/>
    <col min="33" max="33" width="10.28515625" bestFit="1" customWidth="1"/>
    <col min="34" max="34" width="13.28515625" bestFit="1" customWidth="1"/>
    <col min="35" max="35" width="10.85546875" bestFit="1" customWidth="1"/>
    <col min="36" max="36" width="1.7109375" customWidth="1"/>
    <col min="37" max="37" width="3.7109375" bestFit="1" customWidth="1"/>
    <col min="38" max="38" width="52.140625" bestFit="1" customWidth="1"/>
    <col min="39" max="39" width="4.5703125" bestFit="1" customWidth="1"/>
    <col min="40" max="40" width="6.85546875" bestFit="1" customWidth="1"/>
    <col min="41" max="41" width="14.7109375" bestFit="1" customWidth="1"/>
    <col min="42" max="42" width="10.28515625" bestFit="1" customWidth="1"/>
    <col min="43" max="43" width="13.28515625" bestFit="1" customWidth="1"/>
    <col min="44" max="44" width="10.85546875" bestFit="1" customWidth="1"/>
    <col min="45" max="45" width="1.7109375" customWidth="1"/>
    <col min="46" max="46" width="3.7109375" bestFit="1" customWidth="1"/>
    <col min="47" max="47" width="35.42578125" bestFit="1" customWidth="1"/>
    <col min="48" max="48" width="4.5703125" bestFit="1" customWidth="1"/>
    <col min="49" max="49" width="5.85546875" bestFit="1" customWidth="1"/>
    <col min="50" max="50" width="14.7109375" bestFit="1" customWidth="1"/>
    <col min="51" max="51" width="10.28515625" bestFit="1" customWidth="1"/>
    <col min="52" max="52" width="13.28515625" bestFit="1" customWidth="1"/>
    <col min="53" max="53" width="5.42578125" bestFit="1" customWidth="1"/>
    <col min="54" max="54" width="1.7109375" customWidth="1"/>
    <col min="55" max="55" width="3.7109375" bestFit="1" customWidth="1"/>
    <col min="56" max="56" width="48.42578125" bestFit="1" customWidth="1"/>
    <col min="57" max="57" width="4.7109375" bestFit="1" customWidth="1"/>
    <col min="58" max="58" width="6.42578125" bestFit="1" customWidth="1"/>
    <col min="59" max="59" width="14.42578125" bestFit="1" customWidth="1"/>
    <col min="60" max="60" width="10.28515625" bestFit="1" customWidth="1"/>
    <col min="61" max="61" width="13.28515625" bestFit="1" customWidth="1"/>
    <col min="62" max="62" width="10.85546875" bestFit="1" customWidth="1"/>
    <col min="63" max="63" width="1.7109375" customWidth="1"/>
    <col min="64" max="64" width="3.7109375" bestFit="1" customWidth="1"/>
    <col min="65" max="65" width="61.7109375" bestFit="1" customWidth="1"/>
    <col min="66" max="66" width="4.7109375" bestFit="1" customWidth="1"/>
    <col min="67" max="67" width="6.42578125" bestFit="1" customWidth="1"/>
    <col min="68" max="68" width="14.7109375" bestFit="1" customWidth="1"/>
    <col min="69" max="69" width="10.28515625" bestFit="1" customWidth="1"/>
    <col min="70" max="70" width="13.28515625" bestFit="1" customWidth="1"/>
    <col min="71" max="71" width="10.85546875" bestFit="1" customWidth="1"/>
    <col min="72" max="72" width="1.7109375" customWidth="1"/>
    <col min="73" max="73" width="3.7109375" bestFit="1" customWidth="1"/>
    <col min="74" max="74" width="51.5703125" bestFit="1" customWidth="1"/>
    <col min="75" max="75" width="4.7109375" bestFit="1" customWidth="1"/>
    <col min="76" max="76" width="7.5703125" bestFit="1" customWidth="1"/>
    <col min="77" max="77" width="14.7109375" bestFit="1" customWidth="1"/>
    <col min="78" max="78" width="10.28515625" bestFit="1" customWidth="1"/>
    <col min="79" max="79" width="13.28515625" bestFit="1" customWidth="1"/>
    <col min="80" max="80" width="9.7109375" bestFit="1" customWidth="1"/>
    <col min="81" max="81" width="1.7109375" customWidth="1"/>
    <col min="82" max="82" width="3.7109375" bestFit="1" customWidth="1"/>
    <col min="83" max="83" width="61.42578125" bestFit="1" customWidth="1"/>
    <col min="84" max="84" width="4.5703125" bestFit="1" customWidth="1"/>
    <col min="85" max="85" width="12.140625" bestFit="1" customWidth="1"/>
    <col min="86" max="86" width="14.7109375" bestFit="1" customWidth="1"/>
    <col min="87" max="87" width="10.28515625" bestFit="1" customWidth="1"/>
    <col min="88" max="88" width="13.28515625" bestFit="1" customWidth="1"/>
    <col min="89" max="89" width="5.42578125" bestFit="1" customWidth="1"/>
    <col min="90" max="90" width="1.7109375" customWidth="1"/>
    <col min="91" max="91" width="3.7109375" bestFit="1" customWidth="1"/>
    <col min="92" max="92" width="35.42578125" bestFit="1" customWidth="1"/>
    <col min="93" max="93" width="4.5703125" bestFit="1" customWidth="1"/>
    <col min="94" max="94" width="7.42578125" bestFit="1" customWidth="1"/>
    <col min="95" max="95" width="14.7109375" bestFit="1" customWidth="1"/>
    <col min="96" max="96" width="10.28515625" bestFit="1" customWidth="1"/>
    <col min="97" max="97" width="13.28515625" bestFit="1" customWidth="1"/>
    <col min="98" max="98" width="10.85546875" bestFit="1" customWidth="1"/>
    <col min="99" max="99" width="1.7109375" customWidth="1"/>
    <col min="100" max="100" width="3.7109375" bestFit="1" customWidth="1"/>
    <col min="101" max="101" width="30.7109375" bestFit="1" customWidth="1"/>
    <col min="102" max="102" width="5.85546875" style="1" bestFit="1" customWidth="1"/>
    <col min="103" max="103" width="6.85546875" bestFit="1" customWidth="1"/>
    <col min="104" max="104" width="14.7109375" bestFit="1" customWidth="1"/>
    <col min="105" max="105" width="10.28515625" bestFit="1" customWidth="1"/>
    <col min="106" max="106" width="13.28515625" bestFit="1" customWidth="1"/>
    <col min="107" max="107" width="5.42578125" bestFit="1" customWidth="1"/>
    <col min="108" max="108" width="1.7109375" customWidth="1"/>
    <col min="109" max="109" width="3.7109375" bestFit="1" customWidth="1"/>
    <col min="110" max="110" width="53.7109375" bestFit="1" customWidth="1"/>
    <col min="111" max="111" width="4.5703125" bestFit="1" customWidth="1"/>
    <col min="112" max="112" width="5.85546875" bestFit="1" customWidth="1"/>
    <col min="113" max="113" width="14.7109375" bestFit="1" customWidth="1"/>
    <col min="114" max="114" width="10.28515625" bestFit="1" customWidth="1"/>
    <col min="115" max="115" width="13.28515625" bestFit="1" customWidth="1"/>
    <col min="116" max="116" width="5.42578125" bestFit="1" customWidth="1"/>
    <col min="117" max="117" width="1.7109375" customWidth="1"/>
    <col min="118" max="118" width="3.7109375" bestFit="1" customWidth="1"/>
    <col min="119" max="119" width="53.7109375" bestFit="1" customWidth="1"/>
    <col min="120" max="120" width="4.5703125" bestFit="1" customWidth="1"/>
    <col min="121" max="121" width="6.85546875" bestFit="1" customWidth="1"/>
    <col min="122" max="122" width="14.7109375" bestFit="1" customWidth="1"/>
    <col min="123" max="123" width="10.28515625" bestFit="1" customWidth="1"/>
    <col min="124" max="124" width="13.28515625" bestFit="1" customWidth="1"/>
    <col min="125" max="125" width="5.42578125" bestFit="1" customWidth="1"/>
    <col min="126" max="126" width="1.7109375" customWidth="1"/>
    <col min="127" max="127" width="3.7109375" bestFit="1" customWidth="1"/>
    <col min="128" max="128" width="27.140625" bestFit="1" customWidth="1"/>
    <col min="129" max="129" width="5.85546875" bestFit="1" customWidth="1"/>
    <col min="130" max="130" width="14.7109375" bestFit="1" customWidth="1"/>
    <col min="131" max="131" width="13.28515625" bestFit="1" customWidth="1"/>
    <col min="132" max="132" width="5.42578125" bestFit="1" customWidth="1"/>
    <col min="133" max="133" width="13.28515625" bestFit="1" customWidth="1"/>
    <col min="134" max="134" width="5.42578125" bestFit="1" customWidth="1"/>
    <col min="135" max="135" width="1.7109375" customWidth="1"/>
    <col min="136" max="136" width="3.7109375" bestFit="1" customWidth="1"/>
    <col min="137" max="137" width="51.5703125" bestFit="1" customWidth="1"/>
    <col min="138" max="138" width="4.5703125" bestFit="1" customWidth="1"/>
    <col min="139" max="139" width="5.85546875" bestFit="1" customWidth="1"/>
    <col min="140" max="140" width="14.7109375" bestFit="1" customWidth="1"/>
    <col min="141" max="141" width="10.28515625" bestFit="1" customWidth="1"/>
    <col min="142" max="142" width="13.28515625" bestFit="1" customWidth="1"/>
    <col min="143" max="143" width="5.42578125" bestFit="1" customWidth="1"/>
    <col min="144" max="144" width="1.7109375" customWidth="1"/>
    <col min="145" max="145" width="3.7109375" bestFit="1" customWidth="1"/>
    <col min="146" max="146" width="32" bestFit="1" customWidth="1"/>
    <col min="147" max="147" width="4.5703125" style="1" bestFit="1" customWidth="1"/>
    <col min="148" max="148" width="5.85546875" bestFit="1" customWidth="1"/>
    <col min="149" max="149" width="14.7109375" bestFit="1" customWidth="1"/>
    <col min="150" max="150" width="10.28515625" bestFit="1" customWidth="1"/>
    <col min="151" max="151" width="13.28515625" bestFit="1" customWidth="1"/>
    <col min="152" max="152" width="5.42578125" bestFit="1" customWidth="1"/>
    <col min="153" max="153" width="1.7109375" customWidth="1"/>
    <col min="154" max="154" width="3.7109375" bestFit="1" customWidth="1"/>
    <col min="155" max="155" width="68.85546875" bestFit="1" customWidth="1"/>
    <col min="156" max="156" width="4.5703125" bestFit="1" customWidth="1"/>
    <col min="157" max="157" width="6.42578125" bestFit="1" customWidth="1"/>
    <col min="158" max="158" width="14.7109375" bestFit="1" customWidth="1"/>
    <col min="159" max="159" width="10.28515625" bestFit="1" customWidth="1"/>
    <col min="160" max="160" width="13.28515625" bestFit="1" customWidth="1"/>
    <col min="161" max="161" width="5.42578125" bestFit="1" customWidth="1"/>
    <col min="162" max="162" width="1.7109375" customWidth="1"/>
    <col min="163" max="163" width="3.7109375" bestFit="1" customWidth="1"/>
    <col min="164" max="164" width="37.28515625" bestFit="1" customWidth="1"/>
    <col min="165" max="165" width="4.5703125" bestFit="1" customWidth="1"/>
    <col min="166" max="166" width="5.85546875" bestFit="1" customWidth="1"/>
    <col min="167" max="167" width="14.7109375" bestFit="1" customWidth="1"/>
    <col min="168" max="168" width="10.28515625" bestFit="1" customWidth="1"/>
    <col min="169" max="169" width="13.28515625" bestFit="1" customWidth="1"/>
    <col min="170" max="170" width="10.85546875" bestFit="1" customWidth="1"/>
    <col min="171" max="171" width="1.7109375" customWidth="1"/>
    <col min="172" max="172" width="3.7109375" bestFit="1" customWidth="1"/>
    <col min="173" max="173" width="35.42578125" bestFit="1" customWidth="1"/>
    <col min="174" max="174" width="4.5703125" bestFit="1" customWidth="1"/>
    <col min="175" max="175" width="7.42578125" bestFit="1" customWidth="1"/>
    <col min="176" max="176" width="14.7109375" bestFit="1" customWidth="1"/>
    <col min="177" max="177" width="10.28515625" bestFit="1" customWidth="1"/>
    <col min="178" max="178" width="13.28515625" bestFit="1" customWidth="1"/>
    <col min="179" max="179" width="10.85546875" bestFit="1" customWidth="1"/>
    <col min="180" max="180" width="1.7109375" customWidth="1"/>
    <col min="181" max="181" width="3.7109375" bestFit="1" customWidth="1"/>
    <col min="182" max="182" width="30.7109375" bestFit="1" customWidth="1"/>
    <col min="183" max="183" width="5.85546875" bestFit="1" customWidth="1"/>
    <col min="184" max="184" width="6.85546875" bestFit="1" customWidth="1"/>
    <col min="185" max="185" width="14.7109375" bestFit="1" customWidth="1"/>
    <col min="186" max="186" width="10.28515625" bestFit="1" customWidth="1"/>
    <col min="187" max="187" width="13.28515625" bestFit="1" customWidth="1"/>
    <col min="188" max="188" width="5.42578125" bestFit="1" customWidth="1"/>
    <col min="189" max="189" width="1.7109375" customWidth="1"/>
    <col min="190" max="190" width="3.7109375" bestFit="1" customWidth="1"/>
    <col min="191" max="191" width="53.7109375" bestFit="1" customWidth="1"/>
    <col min="192" max="192" width="4.5703125" bestFit="1" customWidth="1"/>
    <col min="193" max="193" width="5.85546875" bestFit="1" customWidth="1"/>
    <col min="194" max="194" width="14.7109375" bestFit="1" customWidth="1"/>
    <col min="195" max="195" width="10.28515625" bestFit="1" customWidth="1"/>
    <col min="196" max="196" width="13.28515625" bestFit="1" customWidth="1"/>
    <col min="197" max="197" width="5.42578125" bestFit="1" customWidth="1"/>
    <col min="198" max="198" width="1.7109375" customWidth="1"/>
    <col min="199" max="199" width="3.7109375" bestFit="1" customWidth="1"/>
    <col min="200" max="200" width="53.7109375" bestFit="1" customWidth="1"/>
    <col min="201" max="201" width="4.5703125" bestFit="1" customWidth="1"/>
    <col min="202" max="202" width="6.85546875" bestFit="1" customWidth="1"/>
    <col min="203" max="203" width="14.7109375" bestFit="1" customWidth="1"/>
    <col min="204" max="204" width="10.28515625" bestFit="1" customWidth="1"/>
    <col min="205" max="205" width="13.28515625" bestFit="1" customWidth="1"/>
    <col min="206" max="206" width="5.42578125" bestFit="1" customWidth="1"/>
  </cols>
  <sheetData>
    <row r="1" spans="1:132" s="6" customFormat="1" x14ac:dyDescent="0.25">
      <c r="B1" s="6" t="s">
        <v>358</v>
      </c>
      <c r="I1" s="8"/>
      <c r="K1" s="6" t="s">
        <v>158</v>
      </c>
      <c r="T1" s="6" t="s">
        <v>166</v>
      </c>
      <c r="AC1" s="6" t="s">
        <v>165</v>
      </c>
      <c r="AL1" s="6" t="s">
        <v>289</v>
      </c>
      <c r="AU1" s="6" t="s">
        <v>167</v>
      </c>
      <c r="BC1" s="7"/>
      <c r="BD1" s="7" t="s">
        <v>168</v>
      </c>
      <c r="BE1" s="7"/>
      <c r="BF1" s="7"/>
      <c r="BG1" s="7"/>
      <c r="BH1" s="7"/>
      <c r="BI1" s="7"/>
      <c r="BJ1" s="7"/>
      <c r="BM1" s="6" t="s">
        <v>172</v>
      </c>
      <c r="BV1" s="6" t="s">
        <v>174</v>
      </c>
      <c r="CE1" s="6" t="s">
        <v>183</v>
      </c>
      <c r="CN1" s="6" t="s">
        <v>317</v>
      </c>
      <c r="CW1" s="6" t="s">
        <v>422</v>
      </c>
      <c r="CX1" s="7"/>
      <c r="DF1" s="6" t="s">
        <v>329</v>
      </c>
      <c r="DO1" t="s">
        <v>344</v>
      </c>
      <c r="DX1" s="6" t="s">
        <v>359</v>
      </c>
    </row>
    <row r="2" spans="1:132" s="7" customFormat="1" x14ac:dyDescent="0.25">
      <c r="A2" s="7" t="s">
        <v>0</v>
      </c>
      <c r="B2" s="7" t="s">
        <v>21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J2" s="7" t="s">
        <v>0</v>
      </c>
      <c r="K2" s="7" t="s">
        <v>21</v>
      </c>
      <c r="L2" s="7" t="s">
        <v>1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S2" s="7" t="s">
        <v>0</v>
      </c>
      <c r="T2" s="7" t="s">
        <v>21</v>
      </c>
      <c r="U2" s="7" t="s">
        <v>1</v>
      </c>
      <c r="V2" s="7" t="s">
        <v>2</v>
      </c>
      <c r="W2" s="7" t="s">
        <v>3</v>
      </c>
      <c r="X2" s="7" t="s">
        <v>4</v>
      </c>
      <c r="Y2" s="7" t="s">
        <v>5</v>
      </c>
      <c r="Z2" s="7" t="s">
        <v>6</v>
      </c>
      <c r="AB2" s="7" t="s">
        <v>0</v>
      </c>
      <c r="AC2" s="7" t="s">
        <v>21</v>
      </c>
      <c r="AD2" s="7" t="s">
        <v>1</v>
      </c>
      <c r="AE2" s="7" t="s">
        <v>2</v>
      </c>
      <c r="AF2" s="7" t="s">
        <v>3</v>
      </c>
      <c r="AG2" s="7" t="s">
        <v>4</v>
      </c>
      <c r="AH2" s="7" t="s">
        <v>5</v>
      </c>
      <c r="AI2" s="7" t="s">
        <v>6</v>
      </c>
      <c r="AK2" s="7" t="s">
        <v>0</v>
      </c>
      <c r="AL2" s="7" t="s">
        <v>21</v>
      </c>
      <c r="AM2" s="7" t="s">
        <v>1</v>
      </c>
      <c r="AN2" s="7" t="s">
        <v>2</v>
      </c>
      <c r="AO2" s="7" t="s">
        <v>3</v>
      </c>
      <c r="AP2" s="7" t="s">
        <v>4</v>
      </c>
      <c r="AQ2" s="7" t="s">
        <v>5</v>
      </c>
      <c r="AR2" s="7" t="s">
        <v>6</v>
      </c>
      <c r="AT2" s="7" t="s">
        <v>0</v>
      </c>
      <c r="AU2" s="7" t="s">
        <v>21</v>
      </c>
      <c r="AV2" s="7" t="s">
        <v>1</v>
      </c>
      <c r="AW2" s="7" t="s">
        <v>2</v>
      </c>
      <c r="AX2" s="7" t="s">
        <v>3</v>
      </c>
      <c r="AY2" s="7" t="s">
        <v>4</v>
      </c>
      <c r="AZ2" s="7" t="s">
        <v>5</v>
      </c>
      <c r="BA2" s="7" t="s">
        <v>6</v>
      </c>
      <c r="BC2" t="s">
        <v>0</v>
      </c>
      <c r="BD2" t="s">
        <v>21</v>
      </c>
      <c r="BE2" t="s">
        <v>1</v>
      </c>
      <c r="BF2" t="s">
        <v>2</v>
      </c>
      <c r="BG2" t="s">
        <v>3</v>
      </c>
      <c r="BH2" t="s">
        <v>4</v>
      </c>
      <c r="BI2" t="s">
        <v>5</v>
      </c>
      <c r="BJ2" t="s">
        <v>6</v>
      </c>
      <c r="BL2" s="7" t="s">
        <v>0</v>
      </c>
      <c r="BM2" s="7" t="s">
        <v>21</v>
      </c>
      <c r="BN2" s="7" t="s">
        <v>1</v>
      </c>
      <c r="BO2" s="7" t="s">
        <v>2</v>
      </c>
      <c r="BP2" s="7" t="s">
        <v>3</v>
      </c>
      <c r="BQ2" s="7" t="s">
        <v>4</v>
      </c>
      <c r="BR2" s="7" t="s">
        <v>5</v>
      </c>
      <c r="BS2" s="7" t="s">
        <v>6</v>
      </c>
      <c r="BU2" s="7" t="s">
        <v>0</v>
      </c>
      <c r="BV2" s="7" t="s">
        <v>21</v>
      </c>
      <c r="BW2" s="7" t="s">
        <v>1</v>
      </c>
      <c r="BX2" s="7" t="s">
        <v>2</v>
      </c>
      <c r="BY2" s="7" t="s">
        <v>3</v>
      </c>
      <c r="BZ2" s="7" t="s">
        <v>4</v>
      </c>
      <c r="CA2" s="7" t="s">
        <v>5</v>
      </c>
      <c r="CB2" s="7" t="s">
        <v>6</v>
      </c>
      <c r="CD2" s="7" t="s">
        <v>0</v>
      </c>
      <c r="CE2" s="7" t="s">
        <v>21</v>
      </c>
      <c r="CF2" s="7" t="s">
        <v>1</v>
      </c>
      <c r="CG2" s="7" t="s">
        <v>2</v>
      </c>
      <c r="CH2" s="7" t="s">
        <v>3</v>
      </c>
      <c r="CI2" s="7" t="s">
        <v>4</v>
      </c>
      <c r="CJ2" s="7" t="s">
        <v>5</v>
      </c>
      <c r="CK2" s="7" t="s">
        <v>6</v>
      </c>
      <c r="CM2" s="7" t="s">
        <v>0</v>
      </c>
      <c r="CN2" s="7" t="s">
        <v>21</v>
      </c>
      <c r="CO2" s="7" t="s">
        <v>1</v>
      </c>
      <c r="CP2" s="7" t="s">
        <v>2</v>
      </c>
      <c r="CQ2" s="7" t="s">
        <v>3</v>
      </c>
      <c r="CR2" s="7" t="s">
        <v>4</v>
      </c>
      <c r="CS2" s="7" t="s">
        <v>5</v>
      </c>
      <c r="CT2" s="7" t="s">
        <v>6</v>
      </c>
      <c r="CV2" s="7" t="s">
        <v>0</v>
      </c>
      <c r="CW2" s="7" t="s">
        <v>21</v>
      </c>
      <c r="CX2" s="7" t="s">
        <v>1</v>
      </c>
      <c r="CY2" s="7" t="s">
        <v>2</v>
      </c>
      <c r="CZ2" s="7" t="s">
        <v>3</v>
      </c>
      <c r="DA2" s="7" t="s">
        <v>4</v>
      </c>
      <c r="DB2" s="7" t="s">
        <v>5</v>
      </c>
      <c r="DC2" s="7" t="s">
        <v>6</v>
      </c>
      <c r="DE2" s="7" t="s">
        <v>0</v>
      </c>
      <c r="DF2" s="7" t="s">
        <v>21</v>
      </c>
      <c r="DG2" s="7" t="s">
        <v>1</v>
      </c>
      <c r="DH2" s="7" t="s">
        <v>2</v>
      </c>
      <c r="DI2" s="7" t="s">
        <v>3</v>
      </c>
      <c r="DJ2" s="7" t="s">
        <v>4</v>
      </c>
      <c r="DK2" s="7" t="s">
        <v>5</v>
      </c>
      <c r="DL2" s="7" t="s">
        <v>6</v>
      </c>
      <c r="DN2" s="7" t="s">
        <v>0</v>
      </c>
      <c r="DO2" s="7" t="s">
        <v>21</v>
      </c>
      <c r="DP2" s="7" t="s">
        <v>1</v>
      </c>
      <c r="DQ2" s="7" t="s">
        <v>2</v>
      </c>
      <c r="DR2" s="7" t="s">
        <v>3</v>
      </c>
      <c r="DS2" s="7" t="s">
        <v>4</v>
      </c>
      <c r="DT2" s="7" t="s">
        <v>5</v>
      </c>
      <c r="DU2" s="7" t="s">
        <v>6</v>
      </c>
      <c r="DW2" s="7" t="s">
        <v>0</v>
      </c>
      <c r="DX2" s="7" t="s">
        <v>21</v>
      </c>
      <c r="DY2" s="7" t="s">
        <v>2</v>
      </c>
      <c r="DZ2" s="7" t="s">
        <v>3</v>
      </c>
      <c r="EA2" s="7" t="s">
        <v>5</v>
      </c>
      <c r="EB2" s="7" t="s">
        <v>6</v>
      </c>
    </row>
    <row r="3" spans="1:132" x14ac:dyDescent="0.25">
      <c r="A3">
        <v>1</v>
      </c>
      <c r="B3" t="s">
        <v>139</v>
      </c>
      <c r="C3">
        <v>2250</v>
      </c>
      <c r="D3" t="s">
        <v>11</v>
      </c>
      <c r="E3">
        <v>0.3</v>
      </c>
      <c r="F3">
        <v>675</v>
      </c>
      <c r="G3" t="s">
        <v>8</v>
      </c>
      <c r="H3" s="3">
        <v>45882</v>
      </c>
      <c r="J3">
        <v>1</v>
      </c>
      <c r="K3" t="s">
        <v>146</v>
      </c>
      <c r="L3">
        <v>2</v>
      </c>
      <c r="M3" t="s">
        <v>7</v>
      </c>
      <c r="N3">
        <v>350</v>
      </c>
      <c r="O3">
        <v>700</v>
      </c>
      <c r="P3" t="s">
        <v>8</v>
      </c>
      <c r="Q3" s="3">
        <v>45882</v>
      </c>
      <c r="S3">
        <v>1</v>
      </c>
      <c r="T3" t="s">
        <v>318</v>
      </c>
      <c r="U3">
        <v>9</v>
      </c>
      <c r="V3" t="s">
        <v>29</v>
      </c>
      <c r="W3">
        <v>4</v>
      </c>
      <c r="X3">
        <v>36</v>
      </c>
      <c r="Y3" t="s">
        <v>8</v>
      </c>
      <c r="Z3" s="3">
        <v>45882</v>
      </c>
      <c r="AB3">
        <v>1</v>
      </c>
      <c r="AC3" t="s">
        <v>159</v>
      </c>
      <c r="AD3">
        <v>1</v>
      </c>
      <c r="AE3" t="s">
        <v>14</v>
      </c>
      <c r="AF3">
        <v>13</v>
      </c>
      <c r="AG3">
        <v>13</v>
      </c>
      <c r="AH3" t="s">
        <v>8</v>
      </c>
      <c r="AI3" s="3">
        <v>45882</v>
      </c>
      <c r="AK3">
        <v>1</v>
      </c>
      <c r="AL3" t="s">
        <v>330</v>
      </c>
      <c r="AM3">
        <v>1</v>
      </c>
      <c r="AN3" t="s">
        <v>25</v>
      </c>
      <c r="AO3">
        <v>18.8</v>
      </c>
      <c r="AP3">
        <v>18.8</v>
      </c>
      <c r="AQ3" t="s">
        <v>8</v>
      </c>
      <c r="AR3" s="3">
        <v>45882</v>
      </c>
      <c r="AT3">
        <v>1</v>
      </c>
      <c r="AU3" t="s">
        <v>131</v>
      </c>
      <c r="AV3">
        <v>13</v>
      </c>
      <c r="AW3" t="s">
        <v>23</v>
      </c>
      <c r="AX3">
        <v>450</v>
      </c>
      <c r="AY3" s="4">
        <v>5850</v>
      </c>
      <c r="BC3">
        <v>1</v>
      </c>
      <c r="BD3" t="s">
        <v>28</v>
      </c>
      <c r="BE3">
        <v>1</v>
      </c>
      <c r="BF3" t="s">
        <v>29</v>
      </c>
      <c r="BG3">
        <v>108.8</v>
      </c>
      <c r="BH3">
        <v>108.8</v>
      </c>
      <c r="BL3">
        <v>1</v>
      </c>
      <c r="BM3" t="s">
        <v>92</v>
      </c>
      <c r="BO3" t="s">
        <v>169</v>
      </c>
      <c r="BP3">
        <v>130</v>
      </c>
      <c r="BU3">
        <v>1</v>
      </c>
      <c r="BV3" t="s">
        <v>173</v>
      </c>
      <c r="BW3">
        <v>624</v>
      </c>
      <c r="BX3" t="s">
        <v>35</v>
      </c>
      <c r="BY3">
        <v>15</v>
      </c>
      <c r="BZ3" s="4">
        <v>9360</v>
      </c>
      <c r="CD3">
        <v>1</v>
      </c>
      <c r="CE3" t="s">
        <v>85</v>
      </c>
      <c r="CG3" t="s">
        <v>175</v>
      </c>
      <c r="CH3">
        <v>95</v>
      </c>
      <c r="CM3">
        <v>1</v>
      </c>
      <c r="CN3" t="s">
        <v>309</v>
      </c>
      <c r="CO3">
        <v>5</v>
      </c>
      <c r="CP3" t="s">
        <v>42</v>
      </c>
      <c r="CQ3">
        <v>15</v>
      </c>
      <c r="CR3">
        <v>75</v>
      </c>
      <c r="CV3">
        <v>1</v>
      </c>
      <c r="CW3" t="s">
        <v>326</v>
      </c>
      <c r="CX3" s="1">
        <v>20</v>
      </c>
      <c r="CY3" t="s">
        <v>62</v>
      </c>
      <c r="CZ3">
        <v>25</v>
      </c>
      <c r="DA3">
        <v>500</v>
      </c>
      <c r="DE3">
        <v>1</v>
      </c>
      <c r="DF3" t="s">
        <v>327</v>
      </c>
      <c r="DG3">
        <v>1</v>
      </c>
      <c r="DH3" t="s">
        <v>48</v>
      </c>
      <c r="DI3">
        <v>60</v>
      </c>
      <c r="DJ3">
        <v>60</v>
      </c>
      <c r="DN3">
        <v>1</v>
      </c>
      <c r="DO3" t="s">
        <v>338</v>
      </c>
      <c r="DP3">
        <v>1</v>
      </c>
      <c r="DQ3" t="s">
        <v>36</v>
      </c>
      <c r="DR3">
        <v>7.5</v>
      </c>
      <c r="DS3">
        <v>7.5</v>
      </c>
      <c r="DW3">
        <v>1</v>
      </c>
      <c r="DX3" t="s">
        <v>360</v>
      </c>
      <c r="DY3" t="s">
        <v>361</v>
      </c>
      <c r="DZ3">
        <v>650</v>
      </c>
    </row>
    <row r="4" spans="1:132" x14ac:dyDescent="0.25">
      <c r="A4">
        <v>2</v>
      </c>
      <c r="B4" t="s">
        <v>140</v>
      </c>
      <c r="C4">
        <v>25</v>
      </c>
      <c r="D4" t="s">
        <v>12</v>
      </c>
      <c r="E4">
        <v>23</v>
      </c>
      <c r="F4">
        <v>575</v>
      </c>
      <c r="G4" t="s">
        <v>8</v>
      </c>
      <c r="H4" s="3">
        <v>45882</v>
      </c>
      <c r="J4">
        <v>2</v>
      </c>
      <c r="K4" t="s">
        <v>147</v>
      </c>
      <c r="L4">
        <v>2</v>
      </c>
      <c r="M4" t="s">
        <v>9</v>
      </c>
      <c r="N4">
        <v>95</v>
      </c>
      <c r="O4">
        <v>190</v>
      </c>
      <c r="P4" t="s">
        <v>8</v>
      </c>
      <c r="Q4" s="3">
        <v>45882</v>
      </c>
      <c r="S4">
        <v>2</v>
      </c>
      <c r="T4" t="s">
        <v>319</v>
      </c>
      <c r="U4">
        <v>5</v>
      </c>
      <c r="V4" t="s">
        <v>29</v>
      </c>
      <c r="W4">
        <v>19</v>
      </c>
      <c r="X4">
        <v>95</v>
      </c>
      <c r="Y4" t="s">
        <v>8</v>
      </c>
      <c r="Z4" s="3">
        <v>45882</v>
      </c>
      <c r="AB4">
        <v>2</v>
      </c>
      <c r="AC4" t="s">
        <v>160</v>
      </c>
      <c r="AD4">
        <v>18</v>
      </c>
      <c r="AE4" t="s">
        <v>15</v>
      </c>
      <c r="AF4">
        <v>5.8</v>
      </c>
      <c r="AG4">
        <v>104.4</v>
      </c>
      <c r="AH4" t="s">
        <v>8</v>
      </c>
      <c r="AI4" s="3">
        <v>45882</v>
      </c>
      <c r="AK4">
        <v>2</v>
      </c>
      <c r="AL4" t="s">
        <v>331</v>
      </c>
      <c r="AM4">
        <v>1</v>
      </c>
      <c r="AN4" t="s">
        <v>25</v>
      </c>
      <c r="AO4">
        <v>35.799999999999997</v>
      </c>
      <c r="AP4">
        <v>35.799999999999997</v>
      </c>
      <c r="AQ4" t="s">
        <v>8</v>
      </c>
      <c r="AR4" s="3">
        <v>45882</v>
      </c>
      <c r="AT4">
        <v>2</v>
      </c>
      <c r="AU4" t="s">
        <v>127</v>
      </c>
      <c r="AV4">
        <v>3</v>
      </c>
      <c r="AW4" t="s">
        <v>23</v>
      </c>
      <c r="AX4">
        <v>650</v>
      </c>
      <c r="AY4" s="4">
        <v>1950</v>
      </c>
      <c r="BC4">
        <v>2</v>
      </c>
      <c r="BD4" t="s">
        <v>94</v>
      </c>
      <c r="BE4">
        <v>25</v>
      </c>
      <c r="BF4" t="s">
        <v>30</v>
      </c>
      <c r="BG4">
        <v>48</v>
      </c>
      <c r="BH4" s="4">
        <v>1200</v>
      </c>
      <c r="BL4">
        <v>2</v>
      </c>
      <c r="BM4" t="s">
        <v>27</v>
      </c>
      <c r="BN4">
        <v>8</v>
      </c>
      <c r="BO4" t="s">
        <v>25</v>
      </c>
      <c r="BP4">
        <v>10</v>
      </c>
      <c r="BQ4">
        <v>80</v>
      </c>
      <c r="BU4">
        <v>2</v>
      </c>
      <c r="BV4" t="s">
        <v>95</v>
      </c>
      <c r="BW4">
        <v>4</v>
      </c>
      <c r="BX4" t="s">
        <v>36</v>
      </c>
      <c r="BY4">
        <v>28</v>
      </c>
      <c r="BZ4">
        <v>112</v>
      </c>
      <c r="CD4">
        <v>2</v>
      </c>
      <c r="CE4" t="s">
        <v>86</v>
      </c>
      <c r="CG4" t="s">
        <v>176</v>
      </c>
      <c r="CH4">
        <v>4.5</v>
      </c>
      <c r="CM4">
        <v>2</v>
      </c>
      <c r="CN4" t="s">
        <v>310</v>
      </c>
      <c r="CO4">
        <v>1</v>
      </c>
      <c r="CP4" t="s">
        <v>42</v>
      </c>
      <c r="CQ4">
        <v>19</v>
      </c>
      <c r="CR4">
        <v>19</v>
      </c>
      <c r="CV4">
        <v>2</v>
      </c>
      <c r="CW4" t="s">
        <v>132</v>
      </c>
      <c r="CX4" s="1">
        <v>1602</v>
      </c>
      <c r="CY4" t="s">
        <v>33</v>
      </c>
      <c r="CZ4">
        <v>3</v>
      </c>
      <c r="DA4" s="4">
        <v>4806</v>
      </c>
      <c r="DE4">
        <v>2</v>
      </c>
      <c r="DF4" t="s">
        <v>328</v>
      </c>
      <c r="DG4">
        <v>1</v>
      </c>
      <c r="DH4" t="s">
        <v>48</v>
      </c>
      <c r="DI4">
        <v>65</v>
      </c>
      <c r="DJ4">
        <v>65</v>
      </c>
      <c r="DN4">
        <v>2</v>
      </c>
      <c r="DO4" t="s">
        <v>339</v>
      </c>
      <c r="DP4">
        <v>1</v>
      </c>
      <c r="DQ4" t="s">
        <v>36</v>
      </c>
      <c r="DR4">
        <v>20</v>
      </c>
      <c r="DS4">
        <v>20</v>
      </c>
      <c r="DW4">
        <v>2</v>
      </c>
      <c r="DX4" t="s">
        <v>362</v>
      </c>
      <c r="DY4" t="s">
        <v>361</v>
      </c>
      <c r="DZ4">
        <v>750</v>
      </c>
    </row>
    <row r="5" spans="1:132" x14ac:dyDescent="0.25">
      <c r="A5">
        <v>3</v>
      </c>
      <c r="B5" t="s">
        <v>141</v>
      </c>
      <c r="C5">
        <v>1</v>
      </c>
      <c r="D5" t="s">
        <v>13</v>
      </c>
      <c r="E5">
        <v>6</v>
      </c>
      <c r="F5">
        <v>6</v>
      </c>
      <c r="G5" t="s">
        <v>8</v>
      </c>
      <c r="H5" s="3">
        <v>45882</v>
      </c>
      <c r="J5">
        <v>3</v>
      </c>
      <c r="K5" t="s">
        <v>148</v>
      </c>
      <c r="L5">
        <v>2</v>
      </c>
      <c r="M5" t="s">
        <v>9</v>
      </c>
      <c r="N5">
        <v>55</v>
      </c>
      <c r="O5">
        <v>110</v>
      </c>
      <c r="P5" t="s">
        <v>8</v>
      </c>
      <c r="Q5" s="3">
        <v>45882</v>
      </c>
      <c r="S5">
        <v>3</v>
      </c>
      <c r="T5" t="s">
        <v>320</v>
      </c>
      <c r="U5">
        <v>3</v>
      </c>
      <c r="V5" t="s">
        <v>29</v>
      </c>
      <c r="W5">
        <v>22</v>
      </c>
      <c r="X5">
        <v>66</v>
      </c>
      <c r="Y5" t="s">
        <v>8</v>
      </c>
      <c r="Z5" s="3">
        <v>45882</v>
      </c>
      <c r="AB5">
        <v>3</v>
      </c>
      <c r="AC5" t="s">
        <v>161</v>
      </c>
      <c r="AD5">
        <v>1</v>
      </c>
      <c r="AE5" t="s">
        <v>15</v>
      </c>
      <c r="AF5">
        <v>0.8</v>
      </c>
      <c r="AG5">
        <v>0.8</v>
      </c>
      <c r="AH5" t="s">
        <v>8</v>
      </c>
      <c r="AI5" s="3">
        <v>45882</v>
      </c>
      <c r="AK5">
        <v>3</v>
      </c>
      <c r="AL5" t="s">
        <v>332</v>
      </c>
      <c r="AM5">
        <v>1</v>
      </c>
      <c r="AN5" t="s">
        <v>50</v>
      </c>
      <c r="AO5">
        <v>105</v>
      </c>
      <c r="AP5">
        <v>105</v>
      </c>
      <c r="AQ5" t="s">
        <v>8</v>
      </c>
      <c r="AR5" s="3">
        <v>45882</v>
      </c>
      <c r="AT5">
        <v>3</v>
      </c>
      <c r="AU5" t="s">
        <v>129</v>
      </c>
      <c r="AV5">
        <v>3</v>
      </c>
      <c r="AW5" t="s">
        <v>23</v>
      </c>
      <c r="AX5">
        <v>700</v>
      </c>
      <c r="AY5" s="4">
        <v>2100</v>
      </c>
      <c r="BC5">
        <v>3</v>
      </c>
      <c r="BD5" t="s">
        <v>98</v>
      </c>
      <c r="BE5">
        <v>38</v>
      </c>
      <c r="BF5" t="s">
        <v>30</v>
      </c>
      <c r="BG5">
        <v>22</v>
      </c>
      <c r="BH5">
        <v>836</v>
      </c>
      <c r="BL5">
        <v>3</v>
      </c>
      <c r="BM5" t="s">
        <v>111</v>
      </c>
      <c r="BN5">
        <v>108</v>
      </c>
      <c r="BO5" t="s">
        <v>36</v>
      </c>
      <c r="BP5">
        <v>10.9</v>
      </c>
      <c r="BQ5" s="4">
        <v>1177.2</v>
      </c>
      <c r="BU5">
        <v>3</v>
      </c>
      <c r="BV5" t="s">
        <v>37</v>
      </c>
      <c r="BW5">
        <v>4</v>
      </c>
      <c r="BX5" t="s">
        <v>38</v>
      </c>
      <c r="BY5">
        <v>68</v>
      </c>
      <c r="BZ5">
        <v>272</v>
      </c>
      <c r="CD5">
        <v>3</v>
      </c>
      <c r="CE5" t="s">
        <v>87</v>
      </c>
      <c r="CG5" t="s">
        <v>176</v>
      </c>
      <c r="CH5">
        <v>19</v>
      </c>
      <c r="CM5">
        <v>3</v>
      </c>
      <c r="CN5" t="s">
        <v>311</v>
      </c>
      <c r="CO5">
        <v>2</v>
      </c>
      <c r="CP5" t="s">
        <v>71</v>
      </c>
      <c r="CQ5">
        <v>10</v>
      </c>
      <c r="CR5">
        <v>20</v>
      </c>
      <c r="CV5">
        <v>3</v>
      </c>
      <c r="CW5" t="s">
        <v>133</v>
      </c>
      <c r="CX5" s="1">
        <v>95</v>
      </c>
      <c r="CY5" t="s">
        <v>70</v>
      </c>
      <c r="CZ5">
        <v>2.25</v>
      </c>
      <c r="DA5">
        <v>213.75</v>
      </c>
      <c r="DN5">
        <v>3</v>
      </c>
      <c r="DO5" t="s">
        <v>340</v>
      </c>
      <c r="DP5">
        <v>1</v>
      </c>
      <c r="DQ5" t="s">
        <v>36</v>
      </c>
      <c r="DR5">
        <v>23</v>
      </c>
      <c r="DS5">
        <v>23</v>
      </c>
      <c r="DW5">
        <v>3</v>
      </c>
      <c r="DX5" t="s">
        <v>363</v>
      </c>
      <c r="DY5" t="s">
        <v>361</v>
      </c>
      <c r="DZ5">
        <v>750</v>
      </c>
    </row>
    <row r="6" spans="1:132" x14ac:dyDescent="0.25">
      <c r="A6">
        <v>4</v>
      </c>
      <c r="B6" t="s">
        <v>142</v>
      </c>
      <c r="C6">
        <v>1</v>
      </c>
      <c r="D6" t="s">
        <v>13</v>
      </c>
      <c r="E6">
        <v>6</v>
      </c>
      <c r="F6">
        <v>6</v>
      </c>
      <c r="G6" t="s">
        <v>8</v>
      </c>
      <c r="H6" s="3">
        <v>45882</v>
      </c>
      <c r="J6">
        <v>4</v>
      </c>
      <c r="K6" t="s">
        <v>149</v>
      </c>
      <c r="L6">
        <v>2</v>
      </c>
      <c r="M6" t="s">
        <v>7</v>
      </c>
      <c r="N6">
        <v>6</v>
      </c>
      <c r="O6">
        <v>12</v>
      </c>
      <c r="P6" t="s">
        <v>8</v>
      </c>
      <c r="Q6" s="3">
        <v>45882</v>
      </c>
      <c r="S6">
        <v>4</v>
      </c>
      <c r="T6" t="s">
        <v>321</v>
      </c>
      <c r="U6">
        <v>1</v>
      </c>
      <c r="V6" t="s">
        <v>29</v>
      </c>
      <c r="W6">
        <v>22</v>
      </c>
      <c r="X6">
        <v>22</v>
      </c>
      <c r="Z6" s="3"/>
      <c r="AB6">
        <v>4</v>
      </c>
      <c r="AC6" t="s">
        <v>162</v>
      </c>
      <c r="AD6">
        <v>8</v>
      </c>
      <c r="AE6" t="s">
        <v>15</v>
      </c>
      <c r="AF6">
        <v>6.5</v>
      </c>
      <c r="AG6">
        <v>52</v>
      </c>
      <c r="AH6" t="s">
        <v>8</v>
      </c>
      <c r="AI6" s="3">
        <v>45882</v>
      </c>
      <c r="AK6">
        <v>4</v>
      </c>
      <c r="AL6" t="s">
        <v>333</v>
      </c>
      <c r="AM6">
        <v>6</v>
      </c>
      <c r="AN6" t="s">
        <v>40</v>
      </c>
      <c r="AO6">
        <v>10</v>
      </c>
      <c r="AP6">
        <v>60</v>
      </c>
      <c r="AQ6" t="s">
        <v>8</v>
      </c>
      <c r="AR6" s="3">
        <v>45882</v>
      </c>
      <c r="AT6">
        <v>4</v>
      </c>
      <c r="AU6" t="s">
        <v>128</v>
      </c>
      <c r="AV6">
        <v>5</v>
      </c>
      <c r="AW6" t="s">
        <v>23</v>
      </c>
      <c r="AX6">
        <v>650</v>
      </c>
      <c r="AY6" s="4">
        <v>3250</v>
      </c>
      <c r="BC6">
        <v>4</v>
      </c>
      <c r="BD6" t="s">
        <v>124</v>
      </c>
      <c r="BE6">
        <v>100</v>
      </c>
      <c r="BF6" t="s">
        <v>36</v>
      </c>
      <c r="BG6">
        <v>10</v>
      </c>
      <c r="BH6" s="4">
        <v>1000</v>
      </c>
      <c r="BL6">
        <v>4</v>
      </c>
      <c r="BM6" t="s">
        <v>112</v>
      </c>
      <c r="BN6">
        <v>9</v>
      </c>
      <c r="BO6" t="s">
        <v>36</v>
      </c>
      <c r="BP6">
        <v>110</v>
      </c>
      <c r="BQ6">
        <v>990</v>
      </c>
      <c r="BU6">
        <v>4</v>
      </c>
      <c r="BV6" t="s">
        <v>39</v>
      </c>
      <c r="BW6">
        <v>16</v>
      </c>
      <c r="BX6" t="s">
        <v>40</v>
      </c>
      <c r="BY6">
        <v>8</v>
      </c>
      <c r="BZ6">
        <v>128</v>
      </c>
      <c r="CD6">
        <v>4</v>
      </c>
      <c r="CE6" t="s">
        <v>88</v>
      </c>
      <c r="CG6" t="s">
        <v>176</v>
      </c>
      <c r="CH6">
        <v>12</v>
      </c>
      <c r="CM6">
        <v>4</v>
      </c>
      <c r="CN6" t="s">
        <v>117</v>
      </c>
      <c r="CO6">
        <v>5</v>
      </c>
      <c r="CP6" t="s">
        <v>36</v>
      </c>
      <c r="CQ6">
        <v>0.8</v>
      </c>
      <c r="CR6">
        <v>4</v>
      </c>
      <c r="CV6">
        <v>4</v>
      </c>
      <c r="CW6" t="s">
        <v>423</v>
      </c>
      <c r="CY6" t="s">
        <v>33</v>
      </c>
      <c r="CZ6">
        <v>1</v>
      </c>
      <c r="DN6">
        <v>4</v>
      </c>
      <c r="DO6" t="s">
        <v>341</v>
      </c>
      <c r="DP6">
        <v>1</v>
      </c>
      <c r="DQ6" t="s">
        <v>36</v>
      </c>
      <c r="DR6">
        <v>20</v>
      </c>
      <c r="DS6">
        <v>20</v>
      </c>
      <c r="DW6">
        <v>4</v>
      </c>
      <c r="DX6" t="s">
        <v>364</v>
      </c>
      <c r="DY6" t="s">
        <v>361</v>
      </c>
      <c r="DZ6">
        <v>850</v>
      </c>
    </row>
    <row r="7" spans="1:132" x14ac:dyDescent="0.25">
      <c r="A7">
        <v>5</v>
      </c>
      <c r="B7" t="s">
        <v>143</v>
      </c>
      <c r="C7">
        <v>5</v>
      </c>
      <c r="D7" t="s">
        <v>12</v>
      </c>
      <c r="E7">
        <v>13.5</v>
      </c>
      <c r="F7">
        <v>67.5</v>
      </c>
      <c r="G7" t="s">
        <v>8</v>
      </c>
      <c r="H7" s="3">
        <v>45882</v>
      </c>
      <c r="J7">
        <v>5</v>
      </c>
      <c r="K7" t="s">
        <v>150</v>
      </c>
      <c r="L7">
        <v>4</v>
      </c>
      <c r="M7" t="s">
        <v>7</v>
      </c>
      <c r="N7">
        <v>7</v>
      </c>
      <c r="O7">
        <v>28</v>
      </c>
      <c r="P7" t="s">
        <v>8</v>
      </c>
      <c r="Q7" s="3">
        <v>45882</v>
      </c>
      <c r="S7">
        <v>5</v>
      </c>
      <c r="T7" t="s">
        <v>322</v>
      </c>
      <c r="U7">
        <v>1</v>
      </c>
      <c r="V7" t="s">
        <v>48</v>
      </c>
      <c r="W7">
        <v>380</v>
      </c>
      <c r="X7">
        <v>380</v>
      </c>
      <c r="Y7" t="s">
        <v>8</v>
      </c>
      <c r="Z7" s="3">
        <v>45882</v>
      </c>
      <c r="AB7">
        <v>5</v>
      </c>
      <c r="AC7" t="s">
        <v>163</v>
      </c>
      <c r="AD7">
        <v>1</v>
      </c>
      <c r="AE7" t="s">
        <v>16</v>
      </c>
      <c r="AF7">
        <v>22</v>
      </c>
      <c r="AG7">
        <v>22</v>
      </c>
      <c r="AH7" t="s">
        <v>8</v>
      </c>
      <c r="AI7" s="3">
        <v>45882</v>
      </c>
      <c r="AK7">
        <v>5</v>
      </c>
      <c r="AL7" t="s">
        <v>334</v>
      </c>
      <c r="AM7">
        <v>2</v>
      </c>
      <c r="AN7" t="s">
        <v>25</v>
      </c>
      <c r="AO7">
        <v>5</v>
      </c>
      <c r="AP7">
        <v>10</v>
      </c>
      <c r="AQ7" t="s">
        <v>8</v>
      </c>
      <c r="AR7" s="3">
        <v>45882</v>
      </c>
      <c r="AT7">
        <v>5</v>
      </c>
      <c r="AU7" t="s">
        <v>138</v>
      </c>
      <c r="AV7">
        <v>3</v>
      </c>
      <c r="AW7" t="s">
        <v>23</v>
      </c>
      <c r="AX7">
        <v>950</v>
      </c>
      <c r="AY7" s="4">
        <v>2850</v>
      </c>
      <c r="BC7">
        <v>5</v>
      </c>
      <c r="BD7" t="s">
        <v>67</v>
      </c>
      <c r="BE7">
        <v>3</v>
      </c>
      <c r="BF7" t="s">
        <v>68</v>
      </c>
      <c r="BG7">
        <v>8</v>
      </c>
      <c r="BH7">
        <v>24</v>
      </c>
      <c r="BL7">
        <v>5</v>
      </c>
      <c r="BM7" t="s">
        <v>137</v>
      </c>
      <c r="BN7">
        <v>26</v>
      </c>
      <c r="BO7" t="s">
        <v>66</v>
      </c>
      <c r="BP7">
        <v>28</v>
      </c>
      <c r="BQ7">
        <v>728</v>
      </c>
      <c r="BU7">
        <v>5</v>
      </c>
      <c r="BV7" t="s">
        <v>41</v>
      </c>
      <c r="BW7">
        <v>17</v>
      </c>
      <c r="BX7" t="s">
        <v>42</v>
      </c>
      <c r="BY7">
        <v>4</v>
      </c>
      <c r="BZ7">
        <v>68</v>
      </c>
      <c r="CD7">
        <v>5</v>
      </c>
      <c r="CE7" t="s">
        <v>89</v>
      </c>
      <c r="CG7" t="s">
        <v>176</v>
      </c>
      <c r="CH7">
        <v>3.5</v>
      </c>
      <c r="CM7">
        <v>5</v>
      </c>
      <c r="CN7" t="s">
        <v>312</v>
      </c>
      <c r="CO7">
        <v>5</v>
      </c>
      <c r="CP7" t="s">
        <v>36</v>
      </c>
      <c r="CQ7">
        <v>3.5</v>
      </c>
      <c r="CR7">
        <v>17.5</v>
      </c>
      <c r="CV7">
        <v>5</v>
      </c>
      <c r="CW7" t="s">
        <v>424</v>
      </c>
      <c r="CY7" t="s">
        <v>33</v>
      </c>
      <c r="CZ7">
        <v>3.5</v>
      </c>
      <c r="DN7">
        <v>5</v>
      </c>
      <c r="DO7" t="s">
        <v>342</v>
      </c>
      <c r="DP7">
        <v>1</v>
      </c>
      <c r="DQ7" t="s">
        <v>36</v>
      </c>
      <c r="DR7">
        <v>25</v>
      </c>
      <c r="DS7">
        <v>25</v>
      </c>
      <c r="DW7">
        <v>5</v>
      </c>
      <c r="DX7" t="s">
        <v>365</v>
      </c>
      <c r="DY7" t="s">
        <v>361</v>
      </c>
      <c r="DZ7">
        <v>950</v>
      </c>
    </row>
    <row r="8" spans="1:132" x14ac:dyDescent="0.25">
      <c r="A8">
        <v>6</v>
      </c>
      <c r="B8" t="s">
        <v>144</v>
      </c>
      <c r="C8">
        <v>3</v>
      </c>
      <c r="D8" t="s">
        <v>12</v>
      </c>
      <c r="E8">
        <v>22</v>
      </c>
      <c r="F8">
        <v>66</v>
      </c>
      <c r="G8" t="s">
        <v>8</v>
      </c>
      <c r="H8" s="3">
        <v>45882</v>
      </c>
      <c r="J8">
        <v>6</v>
      </c>
      <c r="K8" t="s">
        <v>151</v>
      </c>
      <c r="L8">
        <v>2</v>
      </c>
      <c r="M8" t="s">
        <v>7</v>
      </c>
      <c r="N8">
        <v>10</v>
      </c>
      <c r="O8">
        <v>20</v>
      </c>
      <c r="P8" t="s">
        <v>8</v>
      </c>
      <c r="Q8" s="3">
        <v>45882</v>
      </c>
      <c r="S8">
        <v>6</v>
      </c>
      <c r="T8" t="s">
        <v>323</v>
      </c>
      <c r="U8">
        <v>1</v>
      </c>
      <c r="V8" t="s">
        <v>48</v>
      </c>
      <c r="W8">
        <v>120</v>
      </c>
      <c r="X8">
        <v>120</v>
      </c>
      <c r="Y8" t="s">
        <v>8</v>
      </c>
      <c r="Z8" s="3">
        <v>45882</v>
      </c>
      <c r="AB8">
        <v>6</v>
      </c>
      <c r="AC8" t="s">
        <v>164</v>
      </c>
      <c r="AD8">
        <v>1</v>
      </c>
      <c r="AE8" t="s">
        <v>12</v>
      </c>
      <c r="AF8">
        <v>22</v>
      </c>
      <c r="AG8">
        <v>22</v>
      </c>
      <c r="AH8" t="s">
        <v>8</v>
      </c>
      <c r="AI8" s="3">
        <v>45882</v>
      </c>
      <c r="AK8">
        <v>6</v>
      </c>
      <c r="AL8" t="s">
        <v>335</v>
      </c>
      <c r="AM8">
        <v>1</v>
      </c>
      <c r="AN8" t="s">
        <v>42</v>
      </c>
      <c r="AO8">
        <v>201.6</v>
      </c>
      <c r="AP8">
        <v>201.6</v>
      </c>
      <c r="AQ8" t="s">
        <v>17</v>
      </c>
      <c r="AR8" s="3">
        <v>44244</v>
      </c>
      <c r="BC8">
        <v>6</v>
      </c>
      <c r="BD8" t="s">
        <v>69</v>
      </c>
      <c r="BE8">
        <v>3</v>
      </c>
      <c r="BF8" t="s">
        <v>68</v>
      </c>
      <c r="BG8">
        <v>8</v>
      </c>
      <c r="BH8">
        <v>24</v>
      </c>
      <c r="BL8">
        <v>6</v>
      </c>
      <c r="BM8" t="s">
        <v>170</v>
      </c>
      <c r="BN8">
        <v>42</v>
      </c>
      <c r="BO8" t="s">
        <v>66</v>
      </c>
      <c r="BP8">
        <v>10</v>
      </c>
      <c r="BQ8">
        <v>420</v>
      </c>
      <c r="BU8">
        <v>6</v>
      </c>
      <c r="BV8" t="s">
        <v>96</v>
      </c>
      <c r="BW8">
        <v>1</v>
      </c>
      <c r="BX8" t="s">
        <v>43</v>
      </c>
      <c r="BY8">
        <v>59</v>
      </c>
      <c r="BZ8">
        <v>59</v>
      </c>
      <c r="CD8">
        <v>6</v>
      </c>
      <c r="CE8" t="s">
        <v>90</v>
      </c>
      <c r="CG8" t="s">
        <v>176</v>
      </c>
      <c r="CH8">
        <v>29</v>
      </c>
      <c r="CM8">
        <v>6</v>
      </c>
      <c r="CN8" t="s">
        <v>313</v>
      </c>
      <c r="CO8">
        <v>7</v>
      </c>
      <c r="CP8" t="s">
        <v>62</v>
      </c>
      <c r="CQ8">
        <v>65</v>
      </c>
      <c r="CR8">
        <v>455</v>
      </c>
      <c r="CV8">
        <v>6</v>
      </c>
      <c r="CW8" t="s">
        <v>425</v>
      </c>
      <c r="CY8" t="s">
        <v>33</v>
      </c>
      <c r="CZ8">
        <v>8</v>
      </c>
      <c r="DN8">
        <v>6</v>
      </c>
      <c r="DO8" t="s">
        <v>343</v>
      </c>
      <c r="DP8">
        <v>1</v>
      </c>
      <c r="DQ8" t="s">
        <v>25</v>
      </c>
      <c r="DR8">
        <v>78</v>
      </c>
      <c r="DS8">
        <v>78</v>
      </c>
      <c r="DW8">
        <v>6</v>
      </c>
      <c r="DX8" t="s">
        <v>366</v>
      </c>
      <c r="DY8" t="s">
        <v>361</v>
      </c>
      <c r="DZ8" s="4">
        <v>1980</v>
      </c>
    </row>
    <row r="9" spans="1:132" x14ac:dyDescent="0.25">
      <c r="A9">
        <v>7</v>
      </c>
      <c r="B9" t="s">
        <v>145</v>
      </c>
      <c r="C9">
        <v>1</v>
      </c>
      <c r="D9" t="s">
        <v>12</v>
      </c>
      <c r="E9">
        <v>4</v>
      </c>
      <c r="F9">
        <v>4</v>
      </c>
      <c r="G9" t="s">
        <v>8</v>
      </c>
      <c r="H9" s="3">
        <v>45882</v>
      </c>
      <c r="J9">
        <v>7</v>
      </c>
      <c r="K9" t="s">
        <v>152</v>
      </c>
      <c r="L9">
        <v>2</v>
      </c>
      <c r="M9" t="s">
        <v>7</v>
      </c>
      <c r="N9">
        <v>3</v>
      </c>
      <c r="O9">
        <v>6</v>
      </c>
      <c r="P9" t="s">
        <v>8</v>
      </c>
      <c r="Q9" s="3">
        <v>45882</v>
      </c>
      <c r="S9">
        <v>7</v>
      </c>
      <c r="T9" t="s">
        <v>324</v>
      </c>
      <c r="U9">
        <v>1</v>
      </c>
      <c r="V9" t="s">
        <v>48</v>
      </c>
      <c r="W9">
        <v>42</v>
      </c>
      <c r="X9">
        <v>42</v>
      </c>
      <c r="Y9" t="s">
        <v>8</v>
      </c>
      <c r="Z9" s="3">
        <v>45882</v>
      </c>
      <c r="AB9">
        <v>7</v>
      </c>
      <c r="AC9" t="s">
        <v>534</v>
      </c>
      <c r="AD9">
        <v>1</v>
      </c>
      <c r="AE9" t="s">
        <v>15</v>
      </c>
      <c r="AF9">
        <v>102</v>
      </c>
      <c r="AK9">
        <v>7</v>
      </c>
      <c r="AL9" t="s">
        <v>336</v>
      </c>
      <c r="AM9">
        <v>1</v>
      </c>
      <c r="AN9" t="s">
        <v>337</v>
      </c>
      <c r="AO9">
        <v>8</v>
      </c>
      <c r="AP9">
        <v>8</v>
      </c>
      <c r="AR9" s="3"/>
      <c r="BC9">
        <v>7</v>
      </c>
      <c r="BD9" t="s">
        <v>76</v>
      </c>
      <c r="BE9">
        <v>1</v>
      </c>
      <c r="BF9" t="s">
        <v>48</v>
      </c>
      <c r="BG9">
        <v>35</v>
      </c>
      <c r="BH9">
        <v>35</v>
      </c>
      <c r="BL9">
        <v>7</v>
      </c>
      <c r="BM9" t="s">
        <v>125</v>
      </c>
      <c r="BN9">
        <v>20</v>
      </c>
      <c r="BO9" t="s">
        <v>66</v>
      </c>
      <c r="BP9">
        <v>38</v>
      </c>
      <c r="BQ9">
        <v>760</v>
      </c>
      <c r="BU9">
        <v>7</v>
      </c>
      <c r="BV9" t="s">
        <v>44</v>
      </c>
      <c r="BW9">
        <v>3</v>
      </c>
      <c r="BX9" t="s">
        <v>36</v>
      </c>
      <c r="BY9">
        <v>3</v>
      </c>
      <c r="BZ9">
        <v>9</v>
      </c>
      <c r="CD9">
        <v>7</v>
      </c>
      <c r="CE9" t="s">
        <v>177</v>
      </c>
      <c r="CG9" t="s">
        <v>176</v>
      </c>
      <c r="CH9">
        <v>29</v>
      </c>
      <c r="CM9">
        <v>7</v>
      </c>
      <c r="CN9" t="s">
        <v>314</v>
      </c>
      <c r="CO9">
        <v>7</v>
      </c>
      <c r="CP9" t="s">
        <v>62</v>
      </c>
      <c r="CQ9">
        <v>70</v>
      </c>
      <c r="CR9">
        <v>490</v>
      </c>
      <c r="CV9">
        <v>7</v>
      </c>
      <c r="CW9" t="s">
        <v>426</v>
      </c>
      <c r="CY9" t="s">
        <v>33</v>
      </c>
      <c r="CZ9">
        <v>28</v>
      </c>
      <c r="DN9">
        <v>7</v>
      </c>
      <c r="DO9" t="s">
        <v>328</v>
      </c>
      <c r="DP9">
        <v>1</v>
      </c>
      <c r="DQ9" t="s">
        <v>48</v>
      </c>
      <c r="DR9">
        <v>65</v>
      </c>
      <c r="DS9">
        <v>65</v>
      </c>
      <c r="DW9">
        <v>7</v>
      </c>
      <c r="DX9" t="s">
        <v>367</v>
      </c>
      <c r="DY9" t="s">
        <v>361</v>
      </c>
      <c r="DZ9" s="4">
        <v>1970</v>
      </c>
    </row>
    <row r="10" spans="1:132" x14ac:dyDescent="0.25">
      <c r="A10">
        <v>8</v>
      </c>
      <c r="B10" t="s">
        <v>539</v>
      </c>
      <c r="C10">
        <v>2</v>
      </c>
      <c r="D10" t="s">
        <v>13</v>
      </c>
      <c r="E10">
        <v>150</v>
      </c>
      <c r="F10">
        <v>300</v>
      </c>
      <c r="G10" t="s">
        <v>538</v>
      </c>
      <c r="H10" s="3">
        <v>45931</v>
      </c>
      <c r="J10">
        <v>8</v>
      </c>
      <c r="K10" t="s">
        <v>153</v>
      </c>
      <c r="L10">
        <v>2</v>
      </c>
      <c r="M10" t="s">
        <v>7</v>
      </c>
      <c r="N10">
        <v>7</v>
      </c>
      <c r="O10">
        <v>14</v>
      </c>
      <c r="P10" t="s">
        <v>8</v>
      </c>
      <c r="Q10" s="3">
        <v>45882</v>
      </c>
      <c r="S10">
        <v>8</v>
      </c>
      <c r="T10" t="s">
        <v>325</v>
      </c>
      <c r="U10">
        <v>1</v>
      </c>
      <c r="V10" t="s">
        <v>48</v>
      </c>
      <c r="W10">
        <v>85</v>
      </c>
      <c r="X10">
        <v>85</v>
      </c>
      <c r="Z10" s="3"/>
      <c r="AB10">
        <v>8</v>
      </c>
      <c r="AC10" t="s">
        <v>535</v>
      </c>
      <c r="AD10">
        <v>1</v>
      </c>
      <c r="AE10" t="s">
        <v>15</v>
      </c>
      <c r="AF10">
        <v>26.8</v>
      </c>
      <c r="AK10">
        <v>8</v>
      </c>
      <c r="AL10" t="s">
        <v>585</v>
      </c>
      <c r="AM10">
        <v>4</v>
      </c>
      <c r="AN10" t="s">
        <v>547</v>
      </c>
      <c r="AO10">
        <v>22</v>
      </c>
      <c r="AP10">
        <v>88</v>
      </c>
      <c r="AQ10" t="s">
        <v>557</v>
      </c>
      <c r="AR10" s="3">
        <v>45902</v>
      </c>
      <c r="BC10">
        <v>8</v>
      </c>
      <c r="BD10" t="s">
        <v>541</v>
      </c>
      <c r="BE10">
        <v>2</v>
      </c>
      <c r="BF10" t="s">
        <v>16</v>
      </c>
      <c r="BG10">
        <v>9.5</v>
      </c>
      <c r="BH10">
        <v>19</v>
      </c>
      <c r="BI10" t="s">
        <v>538</v>
      </c>
      <c r="BJ10" s="3">
        <v>45931</v>
      </c>
      <c r="BL10">
        <v>8</v>
      </c>
      <c r="BM10" t="s">
        <v>113</v>
      </c>
      <c r="BN10">
        <v>192</v>
      </c>
      <c r="BO10" t="s">
        <v>36</v>
      </c>
      <c r="BP10">
        <v>0.4</v>
      </c>
      <c r="BQ10">
        <v>76.8</v>
      </c>
      <c r="BU10">
        <v>8</v>
      </c>
      <c r="BV10" t="s">
        <v>97</v>
      </c>
      <c r="BW10">
        <v>5</v>
      </c>
      <c r="BX10" t="s">
        <v>36</v>
      </c>
      <c r="BY10">
        <v>45</v>
      </c>
      <c r="BZ10">
        <v>225</v>
      </c>
      <c r="CD10">
        <v>8</v>
      </c>
      <c r="CE10" t="s">
        <v>91</v>
      </c>
      <c r="CG10" t="s">
        <v>175</v>
      </c>
      <c r="CH10">
        <v>59</v>
      </c>
      <c r="CM10">
        <v>8</v>
      </c>
      <c r="CN10" t="s">
        <v>315</v>
      </c>
      <c r="CO10">
        <v>1</v>
      </c>
      <c r="CP10" t="s">
        <v>42</v>
      </c>
      <c r="CQ10">
        <v>0.3</v>
      </c>
      <c r="CR10">
        <v>0.3</v>
      </c>
      <c r="CS10" t="s">
        <v>8</v>
      </c>
      <c r="CT10" s="3">
        <v>45882</v>
      </c>
      <c r="CV10">
        <v>8</v>
      </c>
      <c r="CW10" t="s">
        <v>427</v>
      </c>
      <c r="CY10" t="s">
        <v>33</v>
      </c>
      <c r="CZ10">
        <v>35</v>
      </c>
      <c r="DN10">
        <v>8</v>
      </c>
      <c r="DO10" t="s">
        <v>336</v>
      </c>
      <c r="DP10">
        <v>1</v>
      </c>
      <c r="DQ10" t="s">
        <v>337</v>
      </c>
      <c r="DR10">
        <v>8</v>
      </c>
      <c r="DS10">
        <v>8</v>
      </c>
      <c r="DW10">
        <v>8</v>
      </c>
      <c r="DX10" t="s">
        <v>368</v>
      </c>
      <c r="DY10" t="s">
        <v>361</v>
      </c>
      <c r="DZ10" s="4">
        <v>2300</v>
      </c>
    </row>
    <row r="11" spans="1:132" x14ac:dyDescent="0.25">
      <c r="A11">
        <v>9</v>
      </c>
      <c r="B11" t="s">
        <v>539</v>
      </c>
      <c r="C11">
        <v>2</v>
      </c>
      <c r="D11" t="s">
        <v>13</v>
      </c>
      <c r="E11">
        <v>150</v>
      </c>
      <c r="F11">
        <v>300</v>
      </c>
      <c r="G11" t="s">
        <v>538</v>
      </c>
      <c r="H11" s="3">
        <v>45931</v>
      </c>
      <c r="J11">
        <v>9</v>
      </c>
      <c r="K11" t="s">
        <v>154</v>
      </c>
      <c r="L11">
        <v>4</v>
      </c>
      <c r="M11" t="s">
        <v>10</v>
      </c>
      <c r="N11">
        <v>18.2</v>
      </c>
      <c r="O11">
        <v>72.8</v>
      </c>
      <c r="P11" t="s">
        <v>8</v>
      </c>
      <c r="Q11" s="3">
        <v>45882</v>
      </c>
      <c r="Z11" s="3"/>
      <c r="AB11">
        <v>9</v>
      </c>
      <c r="AC11" t="s">
        <v>570</v>
      </c>
      <c r="AD11">
        <v>38</v>
      </c>
      <c r="AE11" t="s">
        <v>14</v>
      </c>
      <c r="AF11">
        <v>25</v>
      </c>
      <c r="AG11">
        <v>950</v>
      </c>
      <c r="AH11" t="s">
        <v>557</v>
      </c>
      <c r="AI11" s="3">
        <v>45902</v>
      </c>
      <c r="AK11">
        <v>9</v>
      </c>
      <c r="AL11" t="s">
        <v>586</v>
      </c>
      <c r="AM11">
        <v>16</v>
      </c>
      <c r="AN11" t="s">
        <v>587</v>
      </c>
      <c r="AO11">
        <v>7.5</v>
      </c>
      <c r="AP11">
        <v>120</v>
      </c>
      <c r="AQ11" t="s">
        <v>557</v>
      </c>
      <c r="AR11" s="3">
        <v>45902</v>
      </c>
      <c r="BC11">
        <v>9</v>
      </c>
      <c r="BD11" t="s">
        <v>604</v>
      </c>
      <c r="BE11">
        <v>25</v>
      </c>
      <c r="BF11" t="s">
        <v>14</v>
      </c>
      <c r="BG11">
        <v>45</v>
      </c>
      <c r="BH11">
        <v>1125</v>
      </c>
      <c r="BI11" t="s">
        <v>557</v>
      </c>
      <c r="BJ11" s="3">
        <v>45902</v>
      </c>
      <c r="BL11">
        <v>9</v>
      </c>
      <c r="BM11" t="s">
        <v>126</v>
      </c>
      <c r="BN11">
        <v>384</v>
      </c>
      <c r="BO11" t="s">
        <v>29</v>
      </c>
      <c r="BP11">
        <v>23</v>
      </c>
      <c r="BQ11" s="4">
        <v>8832</v>
      </c>
      <c r="BU11">
        <v>9</v>
      </c>
      <c r="BV11" t="s">
        <v>583</v>
      </c>
      <c r="BW11">
        <v>4</v>
      </c>
      <c r="BX11" t="s">
        <v>11</v>
      </c>
      <c r="BY11">
        <v>18</v>
      </c>
      <c r="BZ11">
        <v>72</v>
      </c>
      <c r="CA11" t="s">
        <v>557</v>
      </c>
      <c r="CB11" s="3">
        <v>45902</v>
      </c>
      <c r="CE11" t="s">
        <v>178</v>
      </c>
      <c r="CG11" t="s">
        <v>179</v>
      </c>
      <c r="CH11">
        <v>45</v>
      </c>
      <c r="CM11">
        <v>9</v>
      </c>
      <c r="CN11" t="s">
        <v>316</v>
      </c>
      <c r="CO11">
        <v>1</v>
      </c>
      <c r="CP11" t="s">
        <v>42</v>
      </c>
      <c r="CQ11">
        <v>0.4</v>
      </c>
      <c r="CR11">
        <v>0.4</v>
      </c>
      <c r="CS11" t="s">
        <v>8</v>
      </c>
      <c r="CT11" s="3">
        <v>45882</v>
      </c>
      <c r="CV11">
        <v>9</v>
      </c>
      <c r="CW11" t="s">
        <v>531</v>
      </c>
      <c r="CX11" s="1">
        <v>1</v>
      </c>
      <c r="CY11" t="s">
        <v>532</v>
      </c>
      <c r="CZ11">
        <v>460</v>
      </c>
      <c r="DA11">
        <v>460</v>
      </c>
      <c r="DN11">
        <v>9</v>
      </c>
      <c r="DO11" t="s">
        <v>546</v>
      </c>
      <c r="DP11">
        <v>1</v>
      </c>
      <c r="DQ11" t="s">
        <v>547</v>
      </c>
      <c r="DR11">
        <v>135</v>
      </c>
      <c r="DS11">
        <v>135</v>
      </c>
      <c r="DT11" t="s">
        <v>545</v>
      </c>
      <c r="DU11" s="3">
        <v>45930</v>
      </c>
      <c r="DX11" t="s">
        <v>369</v>
      </c>
      <c r="DY11" t="s">
        <v>361</v>
      </c>
      <c r="DZ11" s="4">
        <v>4200</v>
      </c>
    </row>
    <row r="12" spans="1:132" x14ac:dyDescent="0.25">
      <c r="A12">
        <v>10</v>
      </c>
      <c r="B12" t="s">
        <v>540</v>
      </c>
      <c r="C12">
        <v>40</v>
      </c>
      <c r="D12" t="s">
        <v>12</v>
      </c>
      <c r="E12">
        <v>23</v>
      </c>
      <c r="F12">
        <v>920</v>
      </c>
      <c r="G12" t="s">
        <v>538</v>
      </c>
      <c r="H12" s="3">
        <v>45931</v>
      </c>
      <c r="J12">
        <v>10</v>
      </c>
      <c r="K12" t="s">
        <v>155</v>
      </c>
      <c r="L12">
        <v>6</v>
      </c>
      <c r="M12" t="s">
        <v>7</v>
      </c>
      <c r="N12">
        <v>1.5</v>
      </c>
      <c r="O12">
        <v>9</v>
      </c>
      <c r="P12" t="s">
        <v>8</v>
      </c>
      <c r="Q12" s="3">
        <v>45882</v>
      </c>
      <c r="AB12">
        <v>10</v>
      </c>
      <c r="AC12" t="s">
        <v>571</v>
      </c>
      <c r="AD12">
        <v>60</v>
      </c>
      <c r="AE12" t="s">
        <v>543</v>
      </c>
      <c r="AF12">
        <v>3.5</v>
      </c>
      <c r="AG12">
        <v>210</v>
      </c>
      <c r="AH12" t="s">
        <v>557</v>
      </c>
      <c r="AI12" s="3">
        <v>45902</v>
      </c>
      <c r="AR12" s="3"/>
      <c r="BC12">
        <v>10</v>
      </c>
      <c r="BD12" t="s">
        <v>574</v>
      </c>
      <c r="BE12">
        <v>8</v>
      </c>
      <c r="BF12" t="s">
        <v>544</v>
      </c>
      <c r="BG12">
        <v>90</v>
      </c>
      <c r="BH12">
        <v>720</v>
      </c>
      <c r="BI12" t="s">
        <v>557</v>
      </c>
      <c r="BJ12" s="3">
        <v>45902</v>
      </c>
      <c r="BL12">
        <v>10</v>
      </c>
      <c r="BM12" t="s">
        <v>171</v>
      </c>
      <c r="BN12">
        <v>2</v>
      </c>
      <c r="BO12" t="s">
        <v>29</v>
      </c>
      <c r="BP12">
        <v>40</v>
      </c>
      <c r="BQ12">
        <v>80</v>
      </c>
      <c r="BU12">
        <v>10</v>
      </c>
      <c r="BV12" t="s">
        <v>608</v>
      </c>
      <c r="BW12">
        <v>1</v>
      </c>
      <c r="BX12" t="s">
        <v>35</v>
      </c>
      <c r="BY12">
        <v>12.5</v>
      </c>
      <c r="CD12">
        <v>10</v>
      </c>
      <c r="CE12" t="s">
        <v>180</v>
      </c>
      <c r="CG12" t="s">
        <v>176</v>
      </c>
      <c r="CH12">
        <v>7.5</v>
      </c>
      <c r="CV12">
        <v>10</v>
      </c>
      <c r="CW12" t="s">
        <v>533</v>
      </c>
      <c r="CX12" s="1">
        <v>1</v>
      </c>
      <c r="CY12" t="s">
        <v>29</v>
      </c>
      <c r="CZ12">
        <v>70</v>
      </c>
      <c r="DA12">
        <v>70</v>
      </c>
      <c r="DW12">
        <v>10</v>
      </c>
      <c r="DX12" t="s">
        <v>370</v>
      </c>
      <c r="DY12" t="s">
        <v>361</v>
      </c>
      <c r="DZ12" s="4">
        <v>4300</v>
      </c>
    </row>
    <row r="13" spans="1:132" x14ac:dyDescent="0.25">
      <c r="A13">
        <v>11</v>
      </c>
      <c r="B13" t="s">
        <v>575</v>
      </c>
      <c r="C13">
        <v>1</v>
      </c>
      <c r="D13" t="s">
        <v>12</v>
      </c>
      <c r="E13">
        <v>22</v>
      </c>
      <c r="F13">
        <v>22</v>
      </c>
      <c r="G13" t="s">
        <v>557</v>
      </c>
      <c r="H13" s="3">
        <v>45902</v>
      </c>
      <c r="J13">
        <v>11</v>
      </c>
      <c r="K13" t="s">
        <v>156</v>
      </c>
      <c r="L13">
        <v>6</v>
      </c>
      <c r="M13" t="s">
        <v>7</v>
      </c>
      <c r="N13">
        <v>1.8</v>
      </c>
      <c r="O13">
        <v>10.8</v>
      </c>
      <c r="P13" t="s">
        <v>8</v>
      </c>
      <c r="Q13" s="3">
        <v>45882</v>
      </c>
      <c r="Z13" s="3"/>
      <c r="AB13">
        <v>11</v>
      </c>
      <c r="AC13" t="s">
        <v>572</v>
      </c>
      <c r="AD13">
        <v>4</v>
      </c>
      <c r="AE13" t="s">
        <v>11</v>
      </c>
      <c r="AF13">
        <v>18</v>
      </c>
      <c r="AG13">
        <v>72</v>
      </c>
      <c r="AH13" t="s">
        <v>557</v>
      </c>
      <c r="AI13" s="3">
        <v>45902</v>
      </c>
      <c r="AR13" s="3"/>
      <c r="BC13">
        <v>11</v>
      </c>
      <c r="BD13" t="s">
        <v>584</v>
      </c>
      <c r="BE13">
        <v>100</v>
      </c>
      <c r="BF13" t="s">
        <v>543</v>
      </c>
      <c r="BG13">
        <v>10</v>
      </c>
      <c r="BH13">
        <v>1000</v>
      </c>
      <c r="BI13" t="s">
        <v>557</v>
      </c>
      <c r="BJ13" s="3">
        <v>45902</v>
      </c>
      <c r="BL13">
        <v>11</v>
      </c>
      <c r="BM13" t="s">
        <v>130</v>
      </c>
      <c r="BN13">
        <v>2</v>
      </c>
      <c r="BO13" t="s">
        <v>25</v>
      </c>
      <c r="BP13">
        <v>180</v>
      </c>
      <c r="BQ13">
        <v>360</v>
      </c>
      <c r="BU13">
        <v>11</v>
      </c>
      <c r="BV13" t="s">
        <v>610</v>
      </c>
      <c r="BW13">
        <v>1</v>
      </c>
      <c r="BX13" t="s">
        <v>35</v>
      </c>
      <c r="BY13">
        <v>13.3</v>
      </c>
      <c r="CD13">
        <v>11</v>
      </c>
      <c r="CE13" t="s">
        <v>181</v>
      </c>
      <c r="CG13" t="s">
        <v>176</v>
      </c>
      <c r="CH13">
        <v>10</v>
      </c>
      <c r="DW13">
        <v>11</v>
      </c>
      <c r="DX13" t="s">
        <v>371</v>
      </c>
      <c r="DY13" t="s">
        <v>372</v>
      </c>
      <c r="DZ13">
        <v>900</v>
      </c>
    </row>
    <row r="14" spans="1:132" x14ac:dyDescent="0.25">
      <c r="A14">
        <v>12</v>
      </c>
      <c r="B14" t="s">
        <v>576</v>
      </c>
      <c r="C14">
        <v>2</v>
      </c>
      <c r="D14" t="s">
        <v>12</v>
      </c>
      <c r="E14">
        <v>28</v>
      </c>
      <c r="F14">
        <v>56</v>
      </c>
      <c r="G14" t="s">
        <v>557</v>
      </c>
      <c r="H14" s="3">
        <v>45902</v>
      </c>
      <c r="J14">
        <v>12</v>
      </c>
      <c r="K14" t="s">
        <v>157</v>
      </c>
      <c r="L14">
        <v>6</v>
      </c>
      <c r="M14" t="s">
        <v>7</v>
      </c>
      <c r="N14">
        <v>2</v>
      </c>
      <c r="O14">
        <v>12</v>
      </c>
      <c r="P14" t="s">
        <v>8</v>
      </c>
      <c r="Q14" s="3">
        <v>45882</v>
      </c>
      <c r="Z14" s="3"/>
      <c r="AB14">
        <v>12</v>
      </c>
      <c r="AC14" t="s">
        <v>573</v>
      </c>
      <c r="AD14">
        <v>2</v>
      </c>
      <c r="AE14" t="s">
        <v>12</v>
      </c>
      <c r="AF14">
        <v>22</v>
      </c>
      <c r="AG14">
        <v>44</v>
      </c>
      <c r="AH14" t="s">
        <v>557</v>
      </c>
      <c r="AI14" s="3">
        <v>45902</v>
      </c>
      <c r="AR14" s="3"/>
      <c r="BC14">
        <v>12</v>
      </c>
      <c r="BD14" t="s">
        <v>602</v>
      </c>
      <c r="BE14">
        <v>1</v>
      </c>
      <c r="BF14" t="s">
        <v>30</v>
      </c>
      <c r="BG14">
        <v>55</v>
      </c>
      <c r="BL14">
        <v>12</v>
      </c>
      <c r="BM14" t="s">
        <v>542</v>
      </c>
      <c r="BN14">
        <v>10</v>
      </c>
      <c r="BO14" t="s">
        <v>543</v>
      </c>
      <c r="BP14">
        <v>12</v>
      </c>
      <c r="BQ14">
        <v>120</v>
      </c>
      <c r="BR14" t="s">
        <v>538</v>
      </c>
      <c r="BS14" s="3">
        <v>45931</v>
      </c>
      <c r="BU14">
        <v>12</v>
      </c>
      <c r="BV14" t="s">
        <v>609</v>
      </c>
      <c r="BW14">
        <v>1</v>
      </c>
      <c r="BX14" t="s">
        <v>35</v>
      </c>
      <c r="BY14">
        <v>14.5</v>
      </c>
      <c r="CD14">
        <v>12</v>
      </c>
      <c r="CE14" t="s">
        <v>182</v>
      </c>
      <c r="CG14" t="s">
        <v>176</v>
      </c>
      <c r="CH14">
        <v>15</v>
      </c>
      <c r="DW14">
        <v>12</v>
      </c>
      <c r="DX14" t="s">
        <v>373</v>
      </c>
      <c r="DY14" t="s">
        <v>372</v>
      </c>
      <c r="DZ14">
        <v>480</v>
      </c>
    </row>
    <row r="15" spans="1:132" x14ac:dyDescent="0.25">
      <c r="A15">
        <v>13</v>
      </c>
      <c r="B15" t="s">
        <v>577</v>
      </c>
      <c r="C15">
        <v>384</v>
      </c>
      <c r="D15" t="s">
        <v>12</v>
      </c>
      <c r="E15">
        <v>22.5</v>
      </c>
      <c r="F15">
        <v>8640</v>
      </c>
      <c r="G15" t="s">
        <v>557</v>
      </c>
      <c r="H15" s="3">
        <v>45902</v>
      </c>
      <c r="Z15" s="3"/>
      <c r="BC15">
        <v>13</v>
      </c>
      <c r="BD15" t="s">
        <v>603</v>
      </c>
      <c r="BE15">
        <v>1</v>
      </c>
      <c r="BF15" t="s">
        <v>30</v>
      </c>
      <c r="BG15">
        <v>42</v>
      </c>
      <c r="CD15">
        <v>13</v>
      </c>
      <c r="CE15" t="s">
        <v>91</v>
      </c>
      <c r="CG15" t="s">
        <v>175</v>
      </c>
      <c r="CH15">
        <v>59</v>
      </c>
    </row>
    <row r="16" spans="1:132" x14ac:dyDescent="0.25">
      <c r="A16">
        <v>14</v>
      </c>
      <c r="B16" t="s">
        <v>578</v>
      </c>
      <c r="C16">
        <v>3</v>
      </c>
      <c r="D16" t="s">
        <v>579</v>
      </c>
      <c r="E16">
        <v>900</v>
      </c>
      <c r="F16">
        <v>2700</v>
      </c>
      <c r="G16" t="s">
        <v>557</v>
      </c>
      <c r="H16" s="3">
        <v>45902</v>
      </c>
    </row>
    <row r="17" spans="1:8" x14ac:dyDescent="0.25">
      <c r="A17">
        <v>15</v>
      </c>
      <c r="B17" t="s">
        <v>580</v>
      </c>
      <c r="C17">
        <v>3</v>
      </c>
      <c r="D17" t="s">
        <v>579</v>
      </c>
      <c r="E17">
        <v>850</v>
      </c>
      <c r="F17">
        <v>2550</v>
      </c>
      <c r="G17" t="s">
        <v>557</v>
      </c>
      <c r="H17" s="3">
        <v>45902</v>
      </c>
    </row>
    <row r="18" spans="1:8" x14ac:dyDescent="0.25">
      <c r="A18">
        <v>16</v>
      </c>
      <c r="B18" t="s">
        <v>581</v>
      </c>
      <c r="C18">
        <v>1</v>
      </c>
      <c r="D18" t="s">
        <v>579</v>
      </c>
      <c r="E18">
        <v>850</v>
      </c>
      <c r="F18">
        <v>850</v>
      </c>
      <c r="G18" t="s">
        <v>557</v>
      </c>
      <c r="H18" s="3">
        <v>45902</v>
      </c>
    </row>
    <row r="19" spans="1:8" x14ac:dyDescent="0.25">
      <c r="A19">
        <v>17</v>
      </c>
      <c r="B19" t="s">
        <v>582</v>
      </c>
      <c r="C19">
        <v>1</v>
      </c>
      <c r="D19" t="s">
        <v>579</v>
      </c>
      <c r="E19">
        <v>850</v>
      </c>
      <c r="F19">
        <v>850</v>
      </c>
      <c r="G19" t="s">
        <v>557</v>
      </c>
      <c r="H19" s="3">
        <v>45902</v>
      </c>
    </row>
    <row r="54" spans="126:147" x14ac:dyDescent="0.25">
      <c r="DV54" s="1"/>
      <c r="EQ54"/>
    </row>
    <row r="55" spans="126:147" x14ac:dyDescent="0.25">
      <c r="DV55" s="1"/>
      <c r="EQ55"/>
    </row>
    <row r="56" spans="126:147" x14ac:dyDescent="0.25">
      <c r="DV56" s="1"/>
      <c r="EQ56"/>
    </row>
    <row r="57" spans="126:147" x14ac:dyDescent="0.25">
      <c r="DV57" s="1"/>
      <c r="EQ57"/>
    </row>
    <row r="58" spans="126:147" x14ac:dyDescent="0.25">
      <c r="DV58" s="1"/>
      <c r="EQ58"/>
    </row>
    <row r="59" spans="126:147" x14ac:dyDescent="0.25">
      <c r="DV59" s="1"/>
      <c r="EQ59"/>
    </row>
    <row r="60" spans="126:147" x14ac:dyDescent="0.25">
      <c r="DV60" s="1"/>
      <c r="EQ60"/>
    </row>
  </sheetData>
  <sortState xmlns:xlrd2="http://schemas.microsoft.com/office/spreadsheetml/2017/richdata2" ref="BC3:BJ15">
    <sortCondition ref="BC3:BC15"/>
  </sortState>
  <pageMargins left="0.25" right="0.25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730B-733D-4958-ACEC-E2B58B135E56}">
  <dimension ref="A1:CB54"/>
  <sheetViews>
    <sheetView topLeftCell="B1" zoomScale="75" zoomScaleNormal="75" workbookViewId="0">
      <selection activeCell="E18" sqref="E18"/>
    </sheetView>
  </sheetViews>
  <sheetFormatPr defaultRowHeight="15" x14ac:dyDescent="0.25"/>
  <cols>
    <col min="1" max="1" width="3.7109375" style="2" bestFit="1" customWidth="1"/>
    <col min="2" max="2" width="39.140625" bestFit="1" customWidth="1"/>
    <col min="3" max="3" width="4.5703125" style="2" bestFit="1" customWidth="1"/>
    <col min="4" max="4" width="5.85546875" style="2" bestFit="1" customWidth="1"/>
    <col min="5" max="5" width="14.7109375" style="4" bestFit="1" customWidth="1"/>
    <col min="6" max="6" width="10.28515625" style="4" bestFit="1" customWidth="1"/>
    <col min="7" max="7" width="13.28515625" bestFit="1" customWidth="1"/>
    <col min="8" max="8" width="5.42578125" bestFit="1" customWidth="1"/>
    <col min="10" max="10" width="3.7109375" bestFit="1" customWidth="1"/>
    <col min="11" max="11" width="66.28515625" bestFit="1" customWidth="1"/>
    <col min="12" max="12" width="4.5703125" bestFit="1" customWidth="1"/>
    <col min="13" max="13" width="5.85546875" bestFit="1" customWidth="1"/>
    <col min="14" max="14" width="14.7109375" bestFit="1" customWidth="1"/>
    <col min="15" max="15" width="10.28515625" bestFit="1" customWidth="1"/>
    <col min="16" max="16" width="13.28515625" bestFit="1" customWidth="1"/>
    <col min="17" max="17" width="5.42578125" bestFit="1" customWidth="1"/>
    <col min="19" max="19" width="3.7109375" bestFit="1" customWidth="1"/>
    <col min="20" max="20" width="47.42578125" bestFit="1" customWidth="1"/>
    <col min="21" max="21" width="4.5703125" bestFit="1" customWidth="1"/>
    <col min="22" max="22" width="5.85546875" bestFit="1" customWidth="1"/>
    <col min="23" max="23" width="14.7109375" bestFit="1" customWidth="1"/>
    <col min="24" max="24" width="10.28515625" bestFit="1" customWidth="1"/>
    <col min="25" max="25" width="13.28515625" bestFit="1" customWidth="1"/>
    <col min="26" max="26" width="5.42578125" bestFit="1" customWidth="1"/>
    <col min="28" max="28" width="3.7109375" bestFit="1" customWidth="1"/>
    <col min="29" max="29" width="39.7109375" bestFit="1" customWidth="1"/>
    <col min="30" max="30" width="4.5703125" bestFit="1" customWidth="1"/>
    <col min="31" max="31" width="5.85546875" bestFit="1" customWidth="1"/>
    <col min="32" max="32" width="14.7109375" bestFit="1" customWidth="1"/>
    <col min="33" max="33" width="10.28515625" bestFit="1" customWidth="1"/>
    <col min="34" max="34" width="13.28515625" bestFit="1" customWidth="1"/>
    <col min="35" max="35" width="5.42578125" bestFit="1" customWidth="1"/>
    <col min="37" max="37" width="3.7109375" bestFit="1" customWidth="1"/>
    <col min="38" max="38" width="51.5703125" bestFit="1" customWidth="1"/>
    <col min="39" max="39" width="4.5703125" bestFit="1" customWidth="1"/>
    <col min="40" max="40" width="5.85546875" bestFit="1" customWidth="1"/>
    <col min="41" max="41" width="14.7109375" bestFit="1" customWidth="1"/>
    <col min="42" max="42" width="10.28515625" bestFit="1" customWidth="1"/>
    <col min="43" max="43" width="13.28515625" bestFit="1" customWidth="1"/>
    <col min="44" max="44" width="5.42578125" bestFit="1" customWidth="1"/>
    <col min="46" max="46" width="3.7109375" bestFit="1" customWidth="1"/>
    <col min="47" max="47" width="32" bestFit="1" customWidth="1"/>
    <col min="48" max="48" width="4.5703125" bestFit="1" customWidth="1"/>
    <col min="49" max="49" width="5.85546875" bestFit="1" customWidth="1"/>
    <col min="50" max="50" width="14.7109375" bestFit="1" customWidth="1"/>
    <col min="51" max="51" width="10.28515625" bestFit="1" customWidth="1"/>
    <col min="52" max="52" width="13.28515625" bestFit="1" customWidth="1"/>
    <col min="53" max="53" width="5.42578125" bestFit="1" customWidth="1"/>
    <col min="55" max="55" width="3.7109375" bestFit="1" customWidth="1"/>
    <col min="56" max="56" width="68.85546875" bestFit="1" customWidth="1"/>
    <col min="57" max="57" width="4.5703125" bestFit="1" customWidth="1"/>
    <col min="58" max="58" width="6.42578125" bestFit="1" customWidth="1"/>
    <col min="59" max="59" width="14.7109375" bestFit="1" customWidth="1"/>
    <col min="60" max="60" width="10.28515625" bestFit="1" customWidth="1"/>
    <col min="61" max="61" width="13.28515625" bestFit="1" customWidth="1"/>
    <col min="62" max="62" width="5.42578125" bestFit="1" customWidth="1"/>
    <col min="65" max="65" width="68.85546875" bestFit="1" customWidth="1"/>
    <col min="71" max="71" width="10.85546875" bestFit="1" customWidth="1"/>
    <col min="74" max="74" width="33.28515625" bestFit="1" customWidth="1"/>
  </cols>
  <sheetData>
    <row r="1" spans="1:80" s="1" customFormat="1" x14ac:dyDescent="0.25">
      <c r="A1" s="7"/>
      <c r="B1" s="7" t="s">
        <v>605</v>
      </c>
      <c r="C1" s="7"/>
      <c r="D1" s="7"/>
      <c r="E1" s="7"/>
      <c r="F1" s="7"/>
      <c r="G1" s="7"/>
      <c r="H1" s="7"/>
      <c r="I1" s="7"/>
      <c r="J1" s="7"/>
      <c r="K1" s="7" t="s">
        <v>288</v>
      </c>
      <c r="L1" s="7"/>
      <c r="M1" s="7"/>
      <c r="N1" s="7"/>
      <c r="O1" s="7"/>
      <c r="P1" s="7"/>
      <c r="Q1" s="7"/>
      <c r="R1" s="7"/>
      <c r="S1" s="7"/>
      <c r="T1" s="7" t="s">
        <v>265</v>
      </c>
      <c r="U1" s="7"/>
      <c r="V1" s="7"/>
      <c r="W1" s="7"/>
      <c r="X1" s="7"/>
      <c r="Y1" s="7"/>
      <c r="Z1" s="7"/>
      <c r="AA1" s="7"/>
      <c r="AB1" s="7"/>
      <c r="AC1" s="7" t="s">
        <v>287</v>
      </c>
      <c r="AD1" s="7"/>
      <c r="AE1" s="7"/>
      <c r="AF1" s="7"/>
      <c r="AG1" s="7"/>
      <c r="AH1" s="7"/>
      <c r="AI1" s="7"/>
      <c r="AJ1" s="7"/>
      <c r="AK1" s="7"/>
      <c r="AL1" s="7" t="s">
        <v>280</v>
      </c>
      <c r="AM1" s="7"/>
      <c r="AN1" s="7"/>
      <c r="AO1" s="7"/>
      <c r="AP1" s="7"/>
      <c r="AQ1" s="7"/>
      <c r="AR1" s="7"/>
      <c r="AS1" s="7"/>
      <c r="AT1" s="7"/>
      <c r="AU1" s="7" t="s">
        <v>281</v>
      </c>
      <c r="AV1" s="7"/>
      <c r="AW1" s="7"/>
      <c r="AX1" s="7"/>
      <c r="AY1" s="7"/>
      <c r="AZ1" s="7"/>
      <c r="BA1" s="7"/>
      <c r="BB1" s="7"/>
      <c r="BC1" s="7"/>
      <c r="BD1" s="7" t="s">
        <v>300</v>
      </c>
      <c r="BE1" s="7"/>
      <c r="BF1" s="7"/>
      <c r="BG1" s="7"/>
      <c r="BH1" s="7"/>
      <c r="BI1" s="7"/>
      <c r="BJ1" s="7"/>
      <c r="BK1" s="7"/>
      <c r="BL1" s="7"/>
      <c r="BM1" s="7" t="s">
        <v>553</v>
      </c>
      <c r="BN1" s="7"/>
      <c r="BO1" s="7"/>
      <c r="BP1" s="7"/>
      <c r="BQ1" s="7"/>
      <c r="BR1" s="7"/>
      <c r="BS1" s="7"/>
      <c r="BU1" s="7"/>
      <c r="BV1" s="7" t="s">
        <v>554</v>
      </c>
      <c r="BW1" s="7"/>
      <c r="BX1" s="7"/>
      <c r="BY1" s="7"/>
      <c r="BZ1" s="7"/>
      <c r="CA1" s="7"/>
      <c r="CB1" s="7"/>
    </row>
    <row r="2" spans="1:80" x14ac:dyDescent="0.25">
      <c r="A2" s="7" t="s">
        <v>0</v>
      </c>
      <c r="B2" s="7" t="s">
        <v>21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/>
      <c r="J2" s="7" t="s">
        <v>0</v>
      </c>
      <c r="K2" s="7" t="s">
        <v>21</v>
      </c>
      <c r="L2" s="7" t="s">
        <v>1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/>
      <c r="S2" s="7" t="s">
        <v>0</v>
      </c>
      <c r="T2" s="7" t="s">
        <v>21</v>
      </c>
      <c r="U2" s="7" t="s">
        <v>1</v>
      </c>
      <c r="V2" s="7" t="s">
        <v>2</v>
      </c>
      <c r="W2" s="7" t="s">
        <v>3</v>
      </c>
      <c r="X2" s="7" t="s">
        <v>4</v>
      </c>
      <c r="Y2" s="7" t="s">
        <v>5</v>
      </c>
      <c r="Z2" s="7" t="s">
        <v>6</v>
      </c>
      <c r="AA2" s="7"/>
      <c r="AB2" s="7" t="s">
        <v>0</v>
      </c>
      <c r="AC2" s="7" t="s">
        <v>21</v>
      </c>
      <c r="AD2" s="7" t="s">
        <v>1</v>
      </c>
      <c r="AE2" s="7" t="s">
        <v>2</v>
      </c>
      <c r="AF2" s="7" t="s">
        <v>3</v>
      </c>
      <c r="AG2" s="7" t="s">
        <v>4</v>
      </c>
      <c r="AH2" s="7" t="s">
        <v>5</v>
      </c>
      <c r="AI2" s="7" t="s">
        <v>6</v>
      </c>
      <c r="AJ2" s="7"/>
      <c r="AK2" s="7" t="s">
        <v>0</v>
      </c>
      <c r="AL2" s="7" t="s">
        <v>21</v>
      </c>
      <c r="AM2" s="7" t="s">
        <v>1</v>
      </c>
      <c r="AN2" s="7" t="s">
        <v>2</v>
      </c>
      <c r="AO2" s="7" t="s">
        <v>3</v>
      </c>
      <c r="AP2" s="7" t="s">
        <v>4</v>
      </c>
      <c r="AQ2" s="7" t="s">
        <v>5</v>
      </c>
      <c r="AR2" s="7" t="s">
        <v>6</v>
      </c>
      <c r="AS2" s="7"/>
      <c r="AT2" s="7" t="s">
        <v>0</v>
      </c>
      <c r="AU2" s="7" t="s">
        <v>21</v>
      </c>
      <c r="AV2" s="7" t="s">
        <v>1</v>
      </c>
      <c r="AW2" s="7" t="s">
        <v>2</v>
      </c>
      <c r="AX2" s="7" t="s">
        <v>3</v>
      </c>
      <c r="AY2" s="7" t="s">
        <v>4</v>
      </c>
      <c r="AZ2" s="7" t="s">
        <v>5</v>
      </c>
      <c r="BA2" s="7" t="s">
        <v>6</v>
      </c>
      <c r="BB2" s="7"/>
      <c r="BC2" s="7" t="s">
        <v>0</v>
      </c>
      <c r="BD2" s="7" t="s">
        <v>21</v>
      </c>
      <c r="BE2" s="7" t="s">
        <v>1</v>
      </c>
      <c r="BF2" s="7" t="s">
        <v>2</v>
      </c>
      <c r="BG2" s="7" t="s">
        <v>3</v>
      </c>
      <c r="BH2" s="7" t="s">
        <v>4</v>
      </c>
      <c r="BI2" s="7" t="s">
        <v>5</v>
      </c>
      <c r="BJ2" s="7" t="s">
        <v>6</v>
      </c>
      <c r="BK2" s="7"/>
      <c r="BL2" s="7" t="s">
        <v>0</v>
      </c>
      <c r="BM2" s="7" t="s">
        <v>21</v>
      </c>
      <c r="BN2" s="7" t="s">
        <v>1</v>
      </c>
      <c r="BO2" s="7" t="s">
        <v>2</v>
      </c>
      <c r="BP2" s="7" t="s">
        <v>3</v>
      </c>
      <c r="BQ2" s="7" t="s">
        <v>4</v>
      </c>
      <c r="BR2" s="7" t="s">
        <v>5</v>
      </c>
      <c r="BS2" s="7" t="s">
        <v>6</v>
      </c>
      <c r="BU2" s="7" t="s">
        <v>0</v>
      </c>
      <c r="BV2" s="7" t="s">
        <v>21</v>
      </c>
      <c r="BW2" s="7" t="s">
        <v>1</v>
      </c>
      <c r="BX2" s="7" t="s">
        <v>2</v>
      </c>
      <c r="BY2" s="7" t="s">
        <v>3</v>
      </c>
      <c r="BZ2" s="7" t="s">
        <v>4</v>
      </c>
      <c r="CA2" s="7" t="s">
        <v>5</v>
      </c>
      <c r="CB2" s="7" t="s">
        <v>6</v>
      </c>
    </row>
    <row r="3" spans="1:80" x14ac:dyDescent="0.25">
      <c r="A3">
        <v>1</v>
      </c>
      <c r="B3" t="s">
        <v>206</v>
      </c>
      <c r="C3">
        <v>1</v>
      </c>
      <c r="D3" t="s">
        <v>207</v>
      </c>
      <c r="E3">
        <v>7.62</v>
      </c>
      <c r="F3"/>
      <c r="J3">
        <v>1</v>
      </c>
      <c r="K3" t="s">
        <v>215</v>
      </c>
      <c r="M3" t="s">
        <v>77</v>
      </c>
      <c r="N3">
        <v>3.1</v>
      </c>
      <c r="S3">
        <v>1</v>
      </c>
      <c r="T3" t="s">
        <v>224</v>
      </c>
      <c r="U3" s="1">
        <v>1</v>
      </c>
      <c r="V3" t="s">
        <v>36</v>
      </c>
      <c r="W3">
        <v>22</v>
      </c>
      <c r="AB3">
        <v>1</v>
      </c>
      <c r="AC3" t="s">
        <v>537</v>
      </c>
      <c r="AE3" t="s">
        <v>36</v>
      </c>
      <c r="AF3">
        <v>142</v>
      </c>
      <c r="AK3">
        <v>1</v>
      </c>
      <c r="AL3" t="s">
        <v>275</v>
      </c>
      <c r="AN3" t="s">
        <v>36</v>
      </c>
      <c r="AO3">
        <v>12</v>
      </c>
      <c r="AT3">
        <v>1</v>
      </c>
      <c r="AU3" t="s">
        <v>286</v>
      </c>
      <c r="AW3" t="s">
        <v>36</v>
      </c>
      <c r="AX3">
        <v>65</v>
      </c>
      <c r="BC3">
        <v>1</v>
      </c>
      <c r="BD3" t="s">
        <v>290</v>
      </c>
      <c r="BF3" t="s">
        <v>30</v>
      </c>
      <c r="BG3">
        <v>330</v>
      </c>
      <c r="BL3">
        <v>1</v>
      </c>
      <c r="BM3" t="s">
        <v>551</v>
      </c>
      <c r="BO3" t="s">
        <v>543</v>
      </c>
      <c r="BP3">
        <v>30</v>
      </c>
      <c r="BR3" t="s">
        <v>552</v>
      </c>
      <c r="BS3" s="3">
        <v>45930</v>
      </c>
      <c r="BU3">
        <v>1</v>
      </c>
      <c r="BV3" t="s">
        <v>555</v>
      </c>
      <c r="BX3" t="s">
        <v>543</v>
      </c>
      <c r="BY3">
        <v>15</v>
      </c>
      <c r="CA3" t="s">
        <v>552</v>
      </c>
      <c r="CB3" s="3">
        <v>45930</v>
      </c>
    </row>
    <row r="4" spans="1:80" x14ac:dyDescent="0.25">
      <c r="A4">
        <v>2</v>
      </c>
      <c r="B4" t="s">
        <v>208</v>
      </c>
      <c r="C4">
        <v>1</v>
      </c>
      <c r="D4" t="s">
        <v>207</v>
      </c>
      <c r="E4">
        <v>9.2659199999999995</v>
      </c>
      <c r="F4"/>
      <c r="J4">
        <v>2</v>
      </c>
      <c r="K4" t="s">
        <v>216</v>
      </c>
      <c r="M4" t="s">
        <v>77</v>
      </c>
      <c r="N4">
        <v>3.5</v>
      </c>
      <c r="S4">
        <v>2</v>
      </c>
      <c r="T4" t="s">
        <v>225</v>
      </c>
      <c r="U4" s="1">
        <v>1</v>
      </c>
      <c r="V4" t="s">
        <v>36</v>
      </c>
      <c r="W4">
        <v>25</v>
      </c>
      <c r="AB4">
        <v>2</v>
      </c>
      <c r="AC4" t="s">
        <v>267</v>
      </c>
      <c r="AE4" t="s">
        <v>36</v>
      </c>
      <c r="AF4">
        <v>88</v>
      </c>
      <c r="AK4">
        <v>2</v>
      </c>
      <c r="AL4" t="s">
        <v>276</v>
      </c>
      <c r="AN4" t="s">
        <v>36</v>
      </c>
      <c r="AO4">
        <v>16</v>
      </c>
      <c r="AT4">
        <v>2</v>
      </c>
      <c r="AU4" t="s">
        <v>283</v>
      </c>
      <c r="AW4" t="s">
        <v>36</v>
      </c>
      <c r="AX4">
        <v>20</v>
      </c>
      <c r="BC4">
        <v>2</v>
      </c>
      <c r="BD4" t="s">
        <v>291</v>
      </c>
      <c r="BF4" t="s">
        <v>24</v>
      </c>
      <c r="BG4">
        <v>845</v>
      </c>
      <c r="BL4">
        <v>2</v>
      </c>
      <c r="BU4">
        <v>2</v>
      </c>
      <c r="BV4" t="s">
        <v>588</v>
      </c>
      <c r="BW4">
        <v>42</v>
      </c>
      <c r="BX4" t="s">
        <v>543</v>
      </c>
      <c r="BY4">
        <v>14</v>
      </c>
      <c r="BZ4">
        <v>588</v>
      </c>
      <c r="CA4" t="s">
        <v>557</v>
      </c>
      <c r="CB4" s="3">
        <v>45902</v>
      </c>
    </row>
    <row r="5" spans="1:80" x14ac:dyDescent="0.25">
      <c r="A5">
        <v>3</v>
      </c>
      <c r="B5" t="s">
        <v>209</v>
      </c>
      <c r="C5">
        <v>1</v>
      </c>
      <c r="D5" t="s">
        <v>207</v>
      </c>
      <c r="E5">
        <v>10.606999999999999</v>
      </c>
      <c r="F5"/>
      <c r="J5">
        <v>3</v>
      </c>
      <c r="K5" t="s">
        <v>78</v>
      </c>
      <c r="M5" t="s">
        <v>77</v>
      </c>
      <c r="N5">
        <v>11.4</v>
      </c>
      <c r="S5">
        <v>3</v>
      </c>
      <c r="T5" t="s">
        <v>226</v>
      </c>
      <c r="U5" s="1">
        <v>1</v>
      </c>
      <c r="V5" t="s">
        <v>36</v>
      </c>
      <c r="W5">
        <v>33</v>
      </c>
      <c r="AB5">
        <v>3</v>
      </c>
      <c r="AC5" t="s">
        <v>268</v>
      </c>
      <c r="AE5" t="s">
        <v>36</v>
      </c>
      <c r="AF5">
        <v>120</v>
      </c>
      <c r="AK5">
        <v>3</v>
      </c>
      <c r="AL5" t="s">
        <v>277</v>
      </c>
      <c r="AN5" t="s">
        <v>36</v>
      </c>
      <c r="AO5">
        <v>30</v>
      </c>
      <c r="AT5">
        <v>3</v>
      </c>
      <c r="AU5" t="s">
        <v>284</v>
      </c>
      <c r="AW5" t="s">
        <v>36</v>
      </c>
      <c r="AX5">
        <v>33</v>
      </c>
      <c r="BC5">
        <v>3</v>
      </c>
      <c r="BD5" t="s">
        <v>292</v>
      </c>
      <c r="BF5" t="s">
        <v>30</v>
      </c>
      <c r="BG5">
        <v>100</v>
      </c>
      <c r="BL5">
        <v>3</v>
      </c>
      <c r="BU5">
        <v>3</v>
      </c>
      <c r="BV5" t="s">
        <v>542</v>
      </c>
      <c r="BW5">
        <v>10</v>
      </c>
      <c r="BX5" t="s">
        <v>543</v>
      </c>
      <c r="BY5">
        <v>12</v>
      </c>
      <c r="BZ5">
        <v>120</v>
      </c>
      <c r="CA5" t="s">
        <v>538</v>
      </c>
      <c r="CB5" s="3">
        <v>45931</v>
      </c>
    </row>
    <row r="6" spans="1:80" x14ac:dyDescent="0.25">
      <c r="A6">
        <v>4</v>
      </c>
      <c r="B6" t="s">
        <v>210</v>
      </c>
      <c r="C6">
        <v>1</v>
      </c>
      <c r="D6" t="s">
        <v>207</v>
      </c>
      <c r="E6">
        <v>11.7043</v>
      </c>
      <c r="F6"/>
      <c r="J6">
        <v>4</v>
      </c>
      <c r="K6" t="s">
        <v>79</v>
      </c>
      <c r="M6" t="s">
        <v>77</v>
      </c>
      <c r="N6">
        <v>11.5</v>
      </c>
      <c r="S6">
        <v>4</v>
      </c>
      <c r="T6" t="s">
        <v>227</v>
      </c>
      <c r="U6" s="1">
        <v>1</v>
      </c>
      <c r="V6" t="s">
        <v>36</v>
      </c>
      <c r="W6">
        <v>37</v>
      </c>
      <c r="AB6">
        <v>4</v>
      </c>
      <c r="AC6" t="s">
        <v>536</v>
      </c>
      <c r="AE6" t="s">
        <v>36</v>
      </c>
      <c r="AF6">
        <v>435</v>
      </c>
      <c r="AK6">
        <v>4</v>
      </c>
      <c r="AL6" t="s">
        <v>278</v>
      </c>
      <c r="AN6" t="s">
        <v>36</v>
      </c>
      <c r="AO6">
        <v>49</v>
      </c>
      <c r="AT6">
        <v>4</v>
      </c>
      <c r="AU6" t="s">
        <v>285</v>
      </c>
      <c r="AW6" t="s">
        <v>36</v>
      </c>
      <c r="AX6">
        <v>65</v>
      </c>
      <c r="BC6">
        <v>4</v>
      </c>
      <c r="BD6" t="s">
        <v>293</v>
      </c>
      <c r="BF6" t="s">
        <v>30</v>
      </c>
      <c r="BG6">
        <v>110</v>
      </c>
      <c r="BL6">
        <v>4</v>
      </c>
      <c r="BU6">
        <v>4</v>
      </c>
    </row>
    <row r="7" spans="1:80" x14ac:dyDescent="0.25">
      <c r="A7">
        <v>5</v>
      </c>
      <c r="B7" t="s">
        <v>211</v>
      </c>
      <c r="C7">
        <v>1</v>
      </c>
      <c r="D7" t="s">
        <v>207</v>
      </c>
      <c r="E7">
        <v>9.3116400000000006</v>
      </c>
      <c r="F7"/>
      <c r="J7">
        <v>5</v>
      </c>
      <c r="K7" t="s">
        <v>80</v>
      </c>
      <c r="M7" t="s">
        <v>77</v>
      </c>
      <c r="N7">
        <v>9.3000000000000007</v>
      </c>
      <c r="S7">
        <v>5</v>
      </c>
      <c r="T7" t="s">
        <v>228</v>
      </c>
      <c r="U7" s="1">
        <v>1</v>
      </c>
      <c r="V7" t="s">
        <v>36</v>
      </c>
      <c r="W7">
        <v>47</v>
      </c>
      <c r="AB7">
        <v>5</v>
      </c>
      <c r="AC7" t="s">
        <v>269</v>
      </c>
      <c r="AE7" t="s">
        <v>36</v>
      </c>
      <c r="AF7">
        <v>155</v>
      </c>
      <c r="AK7">
        <v>5</v>
      </c>
      <c r="AL7" t="s">
        <v>279</v>
      </c>
      <c r="AN7" t="s">
        <v>36</v>
      </c>
      <c r="AO7">
        <v>55</v>
      </c>
      <c r="AT7">
        <v>5</v>
      </c>
      <c r="AU7" t="s">
        <v>594</v>
      </c>
      <c r="AV7">
        <v>1</v>
      </c>
      <c r="AW7" t="s">
        <v>36</v>
      </c>
      <c r="AX7">
        <v>93</v>
      </c>
      <c r="BC7">
        <v>5</v>
      </c>
      <c r="BD7" t="s">
        <v>294</v>
      </c>
      <c r="BF7" t="s">
        <v>30</v>
      </c>
      <c r="BG7">
        <v>120</v>
      </c>
      <c r="BL7">
        <v>5</v>
      </c>
      <c r="BU7">
        <v>5</v>
      </c>
    </row>
    <row r="8" spans="1:80" x14ac:dyDescent="0.25">
      <c r="A8">
        <v>6</v>
      </c>
      <c r="B8" t="s">
        <v>212</v>
      </c>
      <c r="C8">
        <v>1</v>
      </c>
      <c r="D8" t="s">
        <v>207</v>
      </c>
      <c r="E8">
        <v>11.704319999999999</v>
      </c>
      <c r="F8"/>
      <c r="J8">
        <v>6</v>
      </c>
      <c r="K8" t="s">
        <v>81</v>
      </c>
      <c r="M8" t="s">
        <v>77</v>
      </c>
      <c r="N8">
        <v>6.5</v>
      </c>
      <c r="S8">
        <v>6</v>
      </c>
      <c r="T8" t="s">
        <v>233</v>
      </c>
      <c r="U8" s="1">
        <v>1</v>
      </c>
      <c r="V8" t="s">
        <v>36</v>
      </c>
      <c r="W8">
        <v>38</v>
      </c>
      <c r="AB8">
        <v>6</v>
      </c>
      <c r="AC8" t="s">
        <v>266</v>
      </c>
      <c r="AE8" t="s">
        <v>36</v>
      </c>
      <c r="AF8">
        <v>46</v>
      </c>
      <c r="AT8">
        <v>6</v>
      </c>
      <c r="AU8" t="s">
        <v>593</v>
      </c>
      <c r="AV8">
        <v>1</v>
      </c>
      <c r="AW8" t="s">
        <v>36</v>
      </c>
      <c r="AX8">
        <v>146</v>
      </c>
      <c r="BC8">
        <v>6</v>
      </c>
      <c r="BD8" t="s">
        <v>295</v>
      </c>
      <c r="BF8" t="s">
        <v>30</v>
      </c>
      <c r="BG8">
        <v>265</v>
      </c>
      <c r="BL8">
        <v>6</v>
      </c>
      <c r="BU8">
        <v>6</v>
      </c>
    </row>
    <row r="9" spans="1:80" x14ac:dyDescent="0.25">
      <c r="A9">
        <v>7</v>
      </c>
      <c r="B9" t="s">
        <v>213</v>
      </c>
      <c r="C9">
        <v>1</v>
      </c>
      <c r="D9" t="s">
        <v>207</v>
      </c>
      <c r="E9">
        <v>13.124688000000001</v>
      </c>
      <c r="F9"/>
      <c r="J9">
        <v>7</v>
      </c>
      <c r="K9" t="s">
        <v>82</v>
      </c>
      <c r="M9" t="s">
        <v>77</v>
      </c>
      <c r="N9">
        <v>6.5</v>
      </c>
      <c r="S9">
        <v>7</v>
      </c>
      <c r="T9" t="s">
        <v>234</v>
      </c>
      <c r="U9" s="1">
        <v>1</v>
      </c>
      <c r="V9" t="s">
        <v>36</v>
      </c>
      <c r="W9">
        <v>52</v>
      </c>
      <c r="AB9">
        <v>7</v>
      </c>
      <c r="AC9" t="s">
        <v>271</v>
      </c>
      <c r="AE9" t="s">
        <v>36</v>
      </c>
      <c r="AF9">
        <v>150</v>
      </c>
      <c r="AT9">
        <v>7</v>
      </c>
      <c r="AU9" t="s">
        <v>282</v>
      </c>
      <c r="AW9" t="s">
        <v>36</v>
      </c>
      <c r="AX9">
        <v>20</v>
      </c>
      <c r="BC9">
        <v>7</v>
      </c>
      <c r="BD9" t="s">
        <v>296</v>
      </c>
      <c r="BF9" t="s">
        <v>30</v>
      </c>
      <c r="BG9">
        <v>90</v>
      </c>
      <c r="BL9">
        <v>7</v>
      </c>
      <c r="BU9">
        <v>7</v>
      </c>
    </row>
    <row r="10" spans="1:80" x14ac:dyDescent="0.25">
      <c r="A10">
        <v>8</v>
      </c>
      <c r="B10" t="s">
        <v>214</v>
      </c>
      <c r="C10">
        <v>1</v>
      </c>
      <c r="D10" t="s">
        <v>207</v>
      </c>
      <c r="E10">
        <v>14.386559999999999</v>
      </c>
      <c r="F10"/>
      <c r="J10">
        <v>8</v>
      </c>
      <c r="K10" t="s">
        <v>83</v>
      </c>
      <c r="M10" t="s">
        <v>77</v>
      </c>
      <c r="N10">
        <v>5.9</v>
      </c>
      <c r="S10">
        <v>8</v>
      </c>
      <c r="T10" t="s">
        <v>220</v>
      </c>
      <c r="U10" s="1">
        <v>1</v>
      </c>
      <c r="V10" t="s">
        <v>36</v>
      </c>
      <c r="W10">
        <v>13</v>
      </c>
      <c r="AB10">
        <v>8</v>
      </c>
      <c r="AC10" t="s">
        <v>270</v>
      </c>
      <c r="AE10" t="s">
        <v>36</v>
      </c>
      <c r="AF10">
        <v>40</v>
      </c>
      <c r="BC10">
        <v>8</v>
      </c>
      <c r="BD10" t="s">
        <v>297</v>
      </c>
      <c r="BF10" t="s">
        <v>30</v>
      </c>
      <c r="BG10">
        <v>48</v>
      </c>
      <c r="BL10">
        <v>8</v>
      </c>
      <c r="BU10">
        <v>8</v>
      </c>
    </row>
    <row r="11" spans="1:80" x14ac:dyDescent="0.25">
      <c r="A11"/>
      <c r="B11" t="s">
        <v>607</v>
      </c>
      <c r="C11">
        <v>1</v>
      </c>
      <c r="D11" t="s">
        <v>606</v>
      </c>
      <c r="E11">
        <v>24.954999999999998</v>
      </c>
      <c r="F11"/>
      <c r="J11">
        <v>9</v>
      </c>
      <c r="K11" t="s">
        <v>84</v>
      </c>
      <c r="M11" t="s">
        <v>77</v>
      </c>
      <c r="N11">
        <v>5.7</v>
      </c>
      <c r="S11">
        <v>9</v>
      </c>
      <c r="T11" t="s">
        <v>221</v>
      </c>
      <c r="U11" s="1">
        <v>1</v>
      </c>
      <c r="V11" t="s">
        <v>36</v>
      </c>
      <c r="W11">
        <v>15</v>
      </c>
      <c r="AB11">
        <v>9</v>
      </c>
      <c r="AC11" t="s">
        <v>273</v>
      </c>
      <c r="AE11" t="s">
        <v>36</v>
      </c>
      <c r="AF11">
        <v>340</v>
      </c>
      <c r="BC11">
        <v>9</v>
      </c>
      <c r="BD11" t="s">
        <v>298</v>
      </c>
      <c r="BF11" t="s">
        <v>30</v>
      </c>
      <c r="BG11">
        <v>60</v>
      </c>
      <c r="BL11">
        <v>9</v>
      </c>
      <c r="BU11">
        <v>9</v>
      </c>
    </row>
    <row r="12" spans="1:80" x14ac:dyDescent="0.25">
      <c r="A12"/>
      <c r="C12"/>
      <c r="D12"/>
      <c r="E12"/>
      <c r="F12"/>
      <c r="S12">
        <v>10</v>
      </c>
      <c r="T12" t="s">
        <v>222</v>
      </c>
      <c r="U12" s="1">
        <v>1</v>
      </c>
      <c r="V12" t="s">
        <v>36</v>
      </c>
      <c r="W12">
        <v>22</v>
      </c>
      <c r="AB12">
        <v>10</v>
      </c>
      <c r="AC12" t="s">
        <v>274</v>
      </c>
      <c r="AE12" t="s">
        <v>36</v>
      </c>
      <c r="AF12">
        <v>450</v>
      </c>
      <c r="BC12">
        <v>10</v>
      </c>
      <c r="BD12" t="s">
        <v>299</v>
      </c>
      <c r="BF12" t="s">
        <v>30</v>
      </c>
      <c r="BG12">
        <v>90</v>
      </c>
      <c r="BL12">
        <v>10</v>
      </c>
      <c r="BU12">
        <v>10</v>
      </c>
    </row>
    <row r="13" spans="1:80" x14ac:dyDescent="0.25">
      <c r="A13"/>
      <c r="C13"/>
      <c r="D13"/>
      <c r="E13"/>
      <c r="F13"/>
      <c r="S13">
        <v>11</v>
      </c>
      <c r="T13" t="s">
        <v>223</v>
      </c>
      <c r="U13" s="1">
        <v>1</v>
      </c>
      <c r="V13" t="s">
        <v>36</v>
      </c>
      <c r="W13">
        <v>25</v>
      </c>
      <c r="AB13">
        <v>11</v>
      </c>
      <c r="AC13" t="s">
        <v>272</v>
      </c>
      <c r="AE13" t="s">
        <v>36</v>
      </c>
      <c r="AF13">
        <v>193</v>
      </c>
    </row>
    <row r="14" spans="1:80" x14ac:dyDescent="0.25">
      <c r="A14"/>
      <c r="C14"/>
      <c r="D14"/>
      <c r="E14"/>
      <c r="F14"/>
      <c r="S14">
        <v>12</v>
      </c>
      <c r="T14" t="s">
        <v>219</v>
      </c>
      <c r="U14" s="1">
        <v>1</v>
      </c>
      <c r="V14" t="s">
        <v>36</v>
      </c>
      <c r="W14">
        <v>15</v>
      </c>
    </row>
    <row r="15" spans="1:80" x14ac:dyDescent="0.25">
      <c r="A15"/>
      <c r="C15"/>
      <c r="D15"/>
      <c r="E15"/>
      <c r="F15"/>
      <c r="S15">
        <v>13</v>
      </c>
      <c r="T15" t="s">
        <v>232</v>
      </c>
      <c r="U15" s="1">
        <v>1</v>
      </c>
      <c r="V15" t="s">
        <v>36</v>
      </c>
      <c r="W15">
        <v>50</v>
      </c>
    </row>
    <row r="16" spans="1:80" x14ac:dyDescent="0.25">
      <c r="A16"/>
      <c r="C16"/>
      <c r="D16"/>
      <c r="E16"/>
      <c r="F16"/>
      <c r="S16">
        <v>14</v>
      </c>
      <c r="T16" t="s">
        <v>235</v>
      </c>
      <c r="U16" s="1">
        <v>1</v>
      </c>
      <c r="V16" t="s">
        <v>36</v>
      </c>
      <c r="W16">
        <v>44</v>
      </c>
    </row>
    <row r="17" spans="1:23" x14ac:dyDescent="0.25">
      <c r="A17"/>
      <c r="C17"/>
      <c r="D17"/>
      <c r="E17"/>
      <c r="F17"/>
      <c r="S17">
        <v>15</v>
      </c>
      <c r="T17" t="s">
        <v>236</v>
      </c>
      <c r="U17" s="1">
        <v>1</v>
      </c>
      <c r="V17" t="s">
        <v>36</v>
      </c>
      <c r="W17">
        <v>47</v>
      </c>
    </row>
    <row r="18" spans="1:23" x14ac:dyDescent="0.25">
      <c r="A18"/>
      <c r="C18"/>
      <c r="D18"/>
      <c r="E18"/>
      <c r="F18"/>
      <c r="S18">
        <v>16</v>
      </c>
      <c r="T18" t="s">
        <v>237</v>
      </c>
      <c r="U18" s="1">
        <v>1</v>
      </c>
      <c r="V18" t="s">
        <v>36</v>
      </c>
      <c r="W18">
        <v>57</v>
      </c>
    </row>
    <row r="19" spans="1:23" x14ac:dyDescent="0.25">
      <c r="A19"/>
      <c r="C19"/>
      <c r="D19"/>
      <c r="E19"/>
      <c r="F19"/>
      <c r="S19">
        <v>17</v>
      </c>
      <c r="T19" t="s">
        <v>229</v>
      </c>
      <c r="U19" s="1">
        <v>1</v>
      </c>
      <c r="V19" t="s">
        <v>36</v>
      </c>
      <c r="W19">
        <v>30</v>
      </c>
    </row>
    <row r="20" spans="1:23" x14ac:dyDescent="0.25">
      <c r="A20"/>
      <c r="C20"/>
      <c r="D20"/>
      <c r="E20"/>
      <c r="F20"/>
      <c r="S20">
        <v>18</v>
      </c>
      <c r="T20" t="s">
        <v>230</v>
      </c>
      <c r="U20" s="1">
        <v>1</v>
      </c>
      <c r="V20" t="s">
        <v>36</v>
      </c>
      <c r="W20">
        <v>32.5</v>
      </c>
    </row>
    <row r="21" spans="1:23" x14ac:dyDescent="0.25">
      <c r="A21"/>
      <c r="C21"/>
      <c r="D21"/>
      <c r="E21"/>
      <c r="F21"/>
      <c r="S21">
        <v>19</v>
      </c>
      <c r="T21" t="s">
        <v>231</v>
      </c>
      <c r="U21" s="1">
        <v>1</v>
      </c>
      <c r="V21" t="s">
        <v>36</v>
      </c>
      <c r="W21">
        <v>38</v>
      </c>
    </row>
    <row r="22" spans="1:23" x14ac:dyDescent="0.25">
      <c r="A22"/>
      <c r="C22"/>
      <c r="D22"/>
      <c r="E22"/>
      <c r="F22"/>
      <c r="S22">
        <v>20</v>
      </c>
      <c r="T22" t="s">
        <v>242</v>
      </c>
      <c r="U22" s="1">
        <v>1</v>
      </c>
      <c r="V22" t="s">
        <v>36</v>
      </c>
      <c r="W22">
        <v>42</v>
      </c>
    </row>
    <row r="23" spans="1:23" x14ac:dyDescent="0.25">
      <c r="A23"/>
      <c r="C23"/>
      <c r="D23"/>
      <c r="E23"/>
      <c r="F23"/>
      <c r="S23">
        <v>21</v>
      </c>
      <c r="T23" t="s">
        <v>243</v>
      </c>
      <c r="U23" s="1">
        <v>1</v>
      </c>
      <c r="V23" t="s">
        <v>36</v>
      </c>
      <c r="W23">
        <v>53</v>
      </c>
    </row>
    <row r="24" spans="1:23" x14ac:dyDescent="0.25">
      <c r="A24"/>
      <c r="C24"/>
      <c r="D24"/>
      <c r="E24"/>
      <c r="F24"/>
      <c r="S24">
        <v>22</v>
      </c>
      <c r="T24" t="s">
        <v>244</v>
      </c>
      <c r="U24" s="1">
        <v>1</v>
      </c>
      <c r="V24" t="s">
        <v>36</v>
      </c>
      <c r="W24">
        <v>69</v>
      </c>
    </row>
    <row r="25" spans="1:23" x14ac:dyDescent="0.25">
      <c r="A25"/>
      <c r="C25"/>
      <c r="D25"/>
      <c r="E25"/>
      <c r="F25"/>
      <c r="S25">
        <v>23</v>
      </c>
      <c r="T25" t="s">
        <v>245</v>
      </c>
      <c r="U25" s="1">
        <v>1</v>
      </c>
      <c r="V25" t="s">
        <v>36</v>
      </c>
      <c r="W25">
        <v>119</v>
      </c>
    </row>
    <row r="26" spans="1:23" x14ac:dyDescent="0.25">
      <c r="A26"/>
      <c r="C26"/>
      <c r="D26"/>
      <c r="E26"/>
      <c r="F26"/>
      <c r="S26">
        <v>24</v>
      </c>
      <c r="T26" t="s">
        <v>246</v>
      </c>
      <c r="U26" s="1">
        <v>1</v>
      </c>
      <c r="V26" t="s">
        <v>36</v>
      </c>
      <c r="W26">
        <v>69</v>
      </c>
    </row>
    <row r="27" spans="1:23" x14ac:dyDescent="0.25">
      <c r="A27"/>
      <c r="C27"/>
      <c r="D27"/>
      <c r="E27"/>
      <c r="F27"/>
      <c r="S27">
        <v>25</v>
      </c>
      <c r="T27" t="s">
        <v>247</v>
      </c>
      <c r="U27" s="1">
        <v>1</v>
      </c>
      <c r="V27" t="s">
        <v>36</v>
      </c>
      <c r="W27">
        <v>75</v>
      </c>
    </row>
    <row r="28" spans="1:23" x14ac:dyDescent="0.25">
      <c r="A28"/>
      <c r="C28"/>
      <c r="D28"/>
      <c r="E28"/>
      <c r="F28"/>
      <c r="S28">
        <v>26</v>
      </c>
      <c r="T28" t="s">
        <v>248</v>
      </c>
      <c r="U28" s="1">
        <v>1</v>
      </c>
      <c r="V28" t="s">
        <v>36</v>
      </c>
      <c r="W28">
        <v>83</v>
      </c>
    </row>
    <row r="29" spans="1:23" x14ac:dyDescent="0.25">
      <c r="A29"/>
      <c r="C29"/>
      <c r="D29"/>
      <c r="E29"/>
      <c r="F29"/>
      <c r="S29">
        <v>27</v>
      </c>
      <c r="T29" t="s">
        <v>249</v>
      </c>
      <c r="U29" s="1">
        <v>1</v>
      </c>
      <c r="V29" t="s">
        <v>36</v>
      </c>
      <c r="W29">
        <v>107</v>
      </c>
    </row>
    <row r="30" spans="1:23" x14ac:dyDescent="0.25">
      <c r="A30"/>
      <c r="C30"/>
      <c r="D30"/>
      <c r="E30"/>
      <c r="F30"/>
      <c r="S30">
        <v>28</v>
      </c>
      <c r="T30" t="s">
        <v>592</v>
      </c>
      <c r="U30">
        <v>1</v>
      </c>
      <c r="V30" t="s">
        <v>36</v>
      </c>
      <c r="W30">
        <v>95</v>
      </c>
    </row>
    <row r="31" spans="1:23" x14ac:dyDescent="0.25">
      <c r="A31"/>
      <c r="C31"/>
      <c r="D31"/>
      <c r="E31"/>
      <c r="F31"/>
      <c r="S31">
        <v>29</v>
      </c>
      <c r="T31" t="s">
        <v>250</v>
      </c>
      <c r="U31" s="1">
        <v>1</v>
      </c>
      <c r="V31" t="s">
        <v>36</v>
      </c>
      <c r="W31">
        <v>95</v>
      </c>
    </row>
    <row r="32" spans="1:23" x14ac:dyDescent="0.25">
      <c r="A32"/>
      <c r="C32"/>
      <c r="D32"/>
      <c r="E32"/>
      <c r="F32"/>
      <c r="S32">
        <v>30</v>
      </c>
      <c r="T32" t="s">
        <v>251</v>
      </c>
      <c r="U32" s="1">
        <v>1</v>
      </c>
      <c r="V32" t="s">
        <v>36</v>
      </c>
      <c r="W32">
        <v>95</v>
      </c>
    </row>
    <row r="33" spans="1:23" x14ac:dyDescent="0.25">
      <c r="A33"/>
      <c r="C33"/>
      <c r="D33"/>
      <c r="E33"/>
      <c r="F33"/>
      <c r="S33">
        <v>31</v>
      </c>
      <c r="T33" t="s">
        <v>252</v>
      </c>
      <c r="U33" s="1">
        <v>1</v>
      </c>
      <c r="V33" t="s">
        <v>36</v>
      </c>
      <c r="W33">
        <v>126</v>
      </c>
    </row>
    <row r="34" spans="1:23" x14ac:dyDescent="0.25">
      <c r="A34"/>
      <c r="C34"/>
      <c r="D34"/>
      <c r="E34"/>
      <c r="F34"/>
      <c r="S34">
        <v>32</v>
      </c>
      <c r="T34" t="s">
        <v>253</v>
      </c>
      <c r="U34" s="1">
        <v>1</v>
      </c>
      <c r="V34" t="s">
        <v>36</v>
      </c>
      <c r="W34">
        <v>142</v>
      </c>
    </row>
    <row r="35" spans="1:23" x14ac:dyDescent="0.25">
      <c r="A35"/>
      <c r="C35"/>
      <c r="D35"/>
      <c r="E35"/>
      <c r="F35"/>
      <c r="S35">
        <v>33</v>
      </c>
      <c r="T35" t="s">
        <v>254</v>
      </c>
      <c r="U35" s="1">
        <v>1</v>
      </c>
      <c r="V35" t="s">
        <v>36</v>
      </c>
      <c r="W35">
        <v>110</v>
      </c>
    </row>
    <row r="36" spans="1:23" x14ac:dyDescent="0.25">
      <c r="A36"/>
      <c r="C36"/>
      <c r="D36"/>
      <c r="E36"/>
      <c r="F36"/>
      <c r="S36">
        <v>34</v>
      </c>
      <c r="T36" t="s">
        <v>255</v>
      </c>
      <c r="U36" s="1">
        <v>1</v>
      </c>
      <c r="V36" t="s">
        <v>36</v>
      </c>
      <c r="W36">
        <v>119</v>
      </c>
    </row>
    <row r="37" spans="1:23" x14ac:dyDescent="0.25">
      <c r="A37"/>
      <c r="C37"/>
      <c r="D37"/>
      <c r="E37"/>
      <c r="F37"/>
      <c r="S37">
        <v>35</v>
      </c>
      <c r="T37" t="s">
        <v>256</v>
      </c>
      <c r="U37" s="1">
        <v>1</v>
      </c>
      <c r="V37" t="s">
        <v>36</v>
      </c>
      <c r="W37">
        <v>110</v>
      </c>
    </row>
    <row r="38" spans="1:23" x14ac:dyDescent="0.25">
      <c r="A38"/>
      <c r="C38"/>
      <c r="D38"/>
      <c r="E38"/>
      <c r="F38"/>
      <c r="S38">
        <v>36</v>
      </c>
      <c r="T38" t="s">
        <v>257</v>
      </c>
      <c r="U38" s="1">
        <v>1</v>
      </c>
      <c r="V38" t="s">
        <v>36</v>
      </c>
      <c r="W38">
        <v>173</v>
      </c>
    </row>
    <row r="39" spans="1:23" x14ac:dyDescent="0.25">
      <c r="A39"/>
      <c r="C39"/>
      <c r="D39"/>
      <c r="E39"/>
      <c r="F39"/>
      <c r="S39">
        <v>37</v>
      </c>
      <c r="T39" t="s">
        <v>238</v>
      </c>
      <c r="U39" s="1">
        <v>1</v>
      </c>
      <c r="V39" t="s">
        <v>36</v>
      </c>
      <c r="W39">
        <v>32</v>
      </c>
    </row>
    <row r="40" spans="1:23" x14ac:dyDescent="0.25">
      <c r="A40"/>
      <c r="C40"/>
      <c r="D40"/>
      <c r="E40"/>
      <c r="F40"/>
      <c r="S40">
        <v>38</v>
      </c>
      <c r="T40" t="s">
        <v>239</v>
      </c>
      <c r="U40" s="1">
        <v>1</v>
      </c>
      <c r="V40" t="s">
        <v>36</v>
      </c>
      <c r="W40">
        <v>37</v>
      </c>
    </row>
    <row r="41" spans="1:23" x14ac:dyDescent="0.25">
      <c r="A41"/>
      <c r="C41"/>
      <c r="D41"/>
      <c r="E41"/>
      <c r="F41"/>
      <c r="S41">
        <v>39</v>
      </c>
      <c r="T41" t="s">
        <v>240</v>
      </c>
      <c r="U41" s="1">
        <v>1</v>
      </c>
      <c r="V41" t="s">
        <v>36</v>
      </c>
      <c r="W41">
        <v>45</v>
      </c>
    </row>
    <row r="42" spans="1:23" x14ac:dyDescent="0.25">
      <c r="A42"/>
      <c r="C42"/>
      <c r="D42"/>
      <c r="E42"/>
      <c r="F42"/>
      <c r="S42">
        <v>40</v>
      </c>
      <c r="T42" t="s">
        <v>241</v>
      </c>
      <c r="U42" s="1">
        <v>1</v>
      </c>
      <c r="V42" t="s">
        <v>36</v>
      </c>
      <c r="W42">
        <v>52</v>
      </c>
    </row>
    <row r="43" spans="1:23" x14ac:dyDescent="0.25">
      <c r="A43"/>
      <c r="C43"/>
      <c r="D43"/>
      <c r="E43"/>
      <c r="F43"/>
      <c r="S43">
        <v>41</v>
      </c>
      <c r="T43" t="s">
        <v>258</v>
      </c>
      <c r="U43" s="1">
        <v>1</v>
      </c>
      <c r="V43" t="s">
        <v>36</v>
      </c>
      <c r="W43">
        <v>75</v>
      </c>
    </row>
    <row r="44" spans="1:23" x14ac:dyDescent="0.25">
      <c r="A44"/>
      <c r="C44"/>
      <c r="D44"/>
      <c r="E44"/>
      <c r="F44"/>
      <c r="S44">
        <v>42</v>
      </c>
      <c r="T44" t="s">
        <v>591</v>
      </c>
      <c r="U44">
        <v>1</v>
      </c>
      <c r="V44" t="s">
        <v>36</v>
      </c>
      <c r="W44">
        <v>95</v>
      </c>
    </row>
    <row r="45" spans="1:23" x14ac:dyDescent="0.25">
      <c r="A45"/>
      <c r="C45"/>
      <c r="D45"/>
      <c r="E45"/>
      <c r="F45"/>
      <c r="S45">
        <v>43</v>
      </c>
      <c r="T45" t="s">
        <v>259</v>
      </c>
      <c r="U45" s="1">
        <v>1</v>
      </c>
      <c r="V45" t="s">
        <v>36</v>
      </c>
      <c r="W45">
        <v>256</v>
      </c>
    </row>
    <row r="46" spans="1:23" x14ac:dyDescent="0.25">
      <c r="A46"/>
      <c r="C46"/>
      <c r="D46"/>
      <c r="E46"/>
      <c r="F46"/>
      <c r="S46">
        <v>44</v>
      </c>
      <c r="T46" t="s">
        <v>260</v>
      </c>
      <c r="U46" s="1">
        <v>1</v>
      </c>
      <c r="V46" t="s">
        <v>36</v>
      </c>
      <c r="W46">
        <v>163</v>
      </c>
    </row>
    <row r="47" spans="1:23" x14ac:dyDescent="0.25">
      <c r="A47"/>
      <c r="C47"/>
      <c r="D47"/>
      <c r="E47"/>
      <c r="F47"/>
      <c r="S47">
        <v>45</v>
      </c>
      <c r="T47" t="s">
        <v>261</v>
      </c>
      <c r="U47" s="1">
        <v>1</v>
      </c>
      <c r="V47" t="s">
        <v>36</v>
      </c>
      <c r="W47">
        <v>110</v>
      </c>
    </row>
    <row r="48" spans="1:23" x14ac:dyDescent="0.25">
      <c r="A48"/>
      <c r="C48"/>
      <c r="D48"/>
      <c r="E48"/>
      <c r="F48"/>
      <c r="S48">
        <v>46</v>
      </c>
      <c r="T48" t="s">
        <v>262</v>
      </c>
      <c r="U48" s="1">
        <v>1</v>
      </c>
      <c r="V48" t="s">
        <v>36</v>
      </c>
      <c r="W48">
        <v>130</v>
      </c>
    </row>
    <row r="49" spans="1:27" x14ac:dyDescent="0.25">
      <c r="A49"/>
      <c r="C49"/>
      <c r="D49"/>
      <c r="E49"/>
      <c r="F49"/>
      <c r="S49">
        <v>47</v>
      </c>
      <c r="T49" t="s">
        <v>263</v>
      </c>
      <c r="U49" s="1">
        <v>1</v>
      </c>
      <c r="V49" t="s">
        <v>36</v>
      </c>
      <c r="W49">
        <v>139</v>
      </c>
    </row>
    <row r="50" spans="1:27" x14ac:dyDescent="0.25">
      <c r="A50"/>
      <c r="C50"/>
      <c r="D50"/>
      <c r="E50"/>
      <c r="F50"/>
      <c r="S50">
        <v>48</v>
      </c>
      <c r="T50" t="s">
        <v>264</v>
      </c>
      <c r="U50" s="1">
        <v>1</v>
      </c>
      <c r="V50" t="s">
        <v>36</v>
      </c>
      <c r="W50">
        <v>173</v>
      </c>
    </row>
    <row r="51" spans="1:27" x14ac:dyDescent="0.25">
      <c r="A51"/>
      <c r="C51"/>
      <c r="D51"/>
      <c r="E51"/>
      <c r="F51"/>
      <c r="S51">
        <v>49</v>
      </c>
      <c r="T51" t="s">
        <v>590</v>
      </c>
      <c r="U51">
        <v>1</v>
      </c>
      <c r="V51" t="s">
        <v>36</v>
      </c>
      <c r="W51">
        <v>340</v>
      </c>
      <c r="AA51" s="1"/>
    </row>
    <row r="52" spans="1:27" x14ac:dyDescent="0.25">
      <c r="A52"/>
      <c r="C52"/>
      <c r="D52"/>
      <c r="E52"/>
      <c r="F52"/>
      <c r="S52">
        <v>50</v>
      </c>
      <c r="T52" t="s">
        <v>589</v>
      </c>
      <c r="U52">
        <v>1</v>
      </c>
      <c r="V52" t="s">
        <v>36</v>
      </c>
      <c r="W52">
        <v>340</v>
      </c>
      <c r="AA52" s="1"/>
    </row>
    <row r="53" spans="1:27" x14ac:dyDescent="0.25">
      <c r="A53"/>
      <c r="C53"/>
      <c r="D53"/>
      <c r="E53"/>
      <c r="F53"/>
      <c r="S53">
        <v>51</v>
      </c>
      <c r="T53" t="s">
        <v>217</v>
      </c>
      <c r="U53" s="1">
        <v>1</v>
      </c>
      <c r="V53" t="s">
        <v>36</v>
      </c>
      <c r="W53">
        <v>11</v>
      </c>
      <c r="AA53" s="1"/>
    </row>
    <row r="54" spans="1:27" x14ac:dyDescent="0.25">
      <c r="S54">
        <v>52</v>
      </c>
      <c r="T54" t="s">
        <v>218</v>
      </c>
      <c r="U54" s="1">
        <v>1</v>
      </c>
      <c r="V54" t="s">
        <v>36</v>
      </c>
      <c r="W54">
        <v>13</v>
      </c>
    </row>
  </sheetData>
  <sortState xmlns:xlrd2="http://schemas.microsoft.com/office/spreadsheetml/2017/richdata2" ref="AU3:AX9">
    <sortCondition ref="AU3:AU9"/>
  </sortState>
  <pageMargins left="0.25" right="0.25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A6E4-0324-4607-88E7-1EDDEDD9561D}">
  <dimension ref="A1:AC30"/>
  <sheetViews>
    <sheetView zoomScale="75" zoomScaleNormal="75" workbookViewId="0">
      <selection activeCell="B9" sqref="B9:J10"/>
    </sheetView>
  </sheetViews>
  <sheetFormatPr defaultRowHeight="15" x14ac:dyDescent="0.25"/>
  <cols>
    <col min="1" max="1" width="3.7109375" bestFit="1" customWidth="1"/>
    <col min="2" max="2" width="31.42578125" bestFit="1" customWidth="1"/>
    <col min="3" max="3" width="4.28515625" bestFit="1" customWidth="1"/>
    <col min="4" max="4" width="5.7109375" bestFit="1" customWidth="1"/>
    <col min="5" max="5" width="14.42578125" bestFit="1" customWidth="1"/>
    <col min="6" max="6" width="10.28515625" bestFit="1" customWidth="1"/>
    <col min="7" max="7" width="13.28515625" bestFit="1" customWidth="1"/>
    <col min="8" max="8" width="10.85546875" bestFit="1" customWidth="1"/>
    <col min="9" max="9" width="10.7109375" bestFit="1" customWidth="1"/>
    <col min="10" max="10" width="3.7109375" bestFit="1" customWidth="1"/>
    <col min="11" max="11" width="63.7109375" bestFit="1" customWidth="1"/>
    <col min="12" max="12" width="5.7109375" bestFit="1" customWidth="1"/>
    <col min="13" max="13" width="14.42578125" bestFit="1" customWidth="1"/>
    <col min="14" max="14" width="13.28515625" bestFit="1" customWidth="1"/>
    <col min="15" max="15" width="5.7109375" bestFit="1" customWidth="1"/>
    <col min="17" max="17" width="3.7109375" bestFit="1" customWidth="1"/>
    <col min="18" max="18" width="63.7109375" bestFit="1" customWidth="1"/>
    <col min="19" max="19" width="5.7109375" bestFit="1" customWidth="1"/>
    <col min="20" max="20" width="14.42578125" bestFit="1" customWidth="1"/>
    <col min="21" max="21" width="13.28515625" bestFit="1" customWidth="1"/>
    <col min="22" max="22" width="5.7109375" bestFit="1" customWidth="1"/>
    <col min="24" max="24" width="3.7109375" bestFit="1" customWidth="1"/>
    <col min="25" max="25" width="47.7109375" bestFit="1" customWidth="1"/>
    <col min="26" max="26" width="5.7109375" bestFit="1" customWidth="1"/>
    <col min="27" max="27" width="14.42578125" bestFit="1" customWidth="1"/>
    <col min="28" max="28" width="13.28515625" bestFit="1" customWidth="1"/>
    <col min="29" max="29" width="5.7109375" bestFit="1" customWidth="1"/>
  </cols>
  <sheetData>
    <row r="1" spans="1:29" x14ac:dyDescent="0.25">
      <c r="A1" s="2"/>
      <c r="B1" s="2" t="s">
        <v>374</v>
      </c>
      <c r="C1" s="2"/>
      <c r="D1" s="2"/>
      <c r="E1" s="2"/>
      <c r="F1" s="2"/>
      <c r="G1" s="2"/>
      <c r="H1" s="2"/>
      <c r="I1" s="2"/>
      <c r="K1" t="s">
        <v>375</v>
      </c>
      <c r="R1" t="s">
        <v>386</v>
      </c>
      <c r="Y1" t="s">
        <v>393</v>
      </c>
    </row>
    <row r="2" spans="1:29" x14ac:dyDescent="0.25">
      <c r="A2" t="s">
        <v>0</v>
      </c>
      <c r="B2" t="s">
        <v>21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 t="s">
        <v>6</v>
      </c>
      <c r="J2" t="s">
        <v>0</v>
      </c>
      <c r="K2" t="s">
        <v>21</v>
      </c>
      <c r="L2" t="s">
        <v>2</v>
      </c>
      <c r="M2" t="s">
        <v>3</v>
      </c>
      <c r="N2" t="s">
        <v>5</v>
      </c>
      <c r="O2" t="s">
        <v>6</v>
      </c>
      <c r="Q2" t="s">
        <v>0</v>
      </c>
      <c r="R2" t="s">
        <v>21</v>
      </c>
      <c r="S2" t="s">
        <v>2</v>
      </c>
      <c r="T2" t="s">
        <v>3</v>
      </c>
      <c r="U2" t="s">
        <v>5</v>
      </c>
      <c r="V2" t="s">
        <v>6</v>
      </c>
      <c r="X2" t="s">
        <v>0</v>
      </c>
      <c r="Y2" t="s">
        <v>21</v>
      </c>
      <c r="Z2" t="s">
        <v>2</v>
      </c>
      <c r="AA2" t="s">
        <v>3</v>
      </c>
      <c r="AB2" t="s">
        <v>5</v>
      </c>
      <c r="AC2" t="s">
        <v>6</v>
      </c>
    </row>
    <row r="3" spans="1:29" x14ac:dyDescent="0.25">
      <c r="A3">
        <v>1</v>
      </c>
      <c r="B3" t="s">
        <v>346</v>
      </c>
      <c r="C3">
        <v>2</v>
      </c>
      <c r="D3" t="s">
        <v>42</v>
      </c>
      <c r="E3">
        <v>6</v>
      </c>
      <c r="F3">
        <v>12</v>
      </c>
      <c r="G3" t="s">
        <v>8</v>
      </c>
      <c r="H3" s="3">
        <v>45882</v>
      </c>
      <c r="J3">
        <v>1</v>
      </c>
      <c r="K3" t="s">
        <v>376</v>
      </c>
      <c r="L3" t="s">
        <v>361</v>
      </c>
      <c r="M3">
        <v>90</v>
      </c>
      <c r="Q3">
        <v>1</v>
      </c>
      <c r="R3" t="s">
        <v>376</v>
      </c>
      <c r="S3" t="s">
        <v>361</v>
      </c>
      <c r="T3">
        <v>110</v>
      </c>
      <c r="X3">
        <v>1</v>
      </c>
      <c r="Y3" t="s">
        <v>394</v>
      </c>
      <c r="Z3" t="s">
        <v>361</v>
      </c>
      <c r="AA3">
        <v>18</v>
      </c>
    </row>
    <row r="4" spans="1:29" x14ac:dyDescent="0.25">
      <c r="A4">
        <v>2</v>
      </c>
      <c r="B4" t="s">
        <v>347</v>
      </c>
      <c r="C4">
        <v>20</v>
      </c>
      <c r="D4" t="s">
        <v>348</v>
      </c>
      <c r="E4">
        <v>1</v>
      </c>
      <c r="F4">
        <v>20</v>
      </c>
      <c r="G4" t="s">
        <v>8</v>
      </c>
      <c r="H4" s="3">
        <v>45882</v>
      </c>
      <c r="J4">
        <v>2</v>
      </c>
      <c r="K4" t="s">
        <v>377</v>
      </c>
      <c r="L4" t="s">
        <v>361</v>
      </c>
      <c r="M4">
        <v>30</v>
      </c>
      <c r="Q4">
        <v>2</v>
      </c>
      <c r="R4" t="s">
        <v>377</v>
      </c>
      <c r="S4" t="s">
        <v>361</v>
      </c>
      <c r="T4">
        <v>30</v>
      </c>
      <c r="X4">
        <v>2</v>
      </c>
      <c r="Y4" t="s">
        <v>395</v>
      </c>
      <c r="Z4" t="s">
        <v>361</v>
      </c>
      <c r="AA4">
        <v>25</v>
      </c>
    </row>
    <row r="5" spans="1:29" x14ac:dyDescent="0.25">
      <c r="A5">
        <v>3</v>
      </c>
      <c r="B5" t="s">
        <v>349</v>
      </c>
      <c r="C5">
        <v>1</v>
      </c>
      <c r="D5" t="s">
        <v>42</v>
      </c>
      <c r="E5">
        <v>13</v>
      </c>
      <c r="F5">
        <v>13</v>
      </c>
      <c r="G5" t="s">
        <v>8</v>
      </c>
      <c r="H5" s="3">
        <v>45882</v>
      </c>
      <c r="J5">
        <v>3</v>
      </c>
      <c r="K5" t="s">
        <v>378</v>
      </c>
      <c r="L5" t="s">
        <v>361</v>
      </c>
      <c r="M5">
        <v>30</v>
      </c>
      <c r="Q5">
        <v>3</v>
      </c>
      <c r="R5" t="s">
        <v>378</v>
      </c>
      <c r="S5" t="s">
        <v>361</v>
      </c>
      <c r="T5">
        <v>30</v>
      </c>
      <c r="X5">
        <v>3</v>
      </c>
      <c r="Y5" t="s">
        <v>396</v>
      </c>
      <c r="Z5" t="s">
        <v>361</v>
      </c>
      <c r="AA5">
        <v>35</v>
      </c>
    </row>
    <row r="6" spans="1:29" x14ac:dyDescent="0.25">
      <c r="A6">
        <v>4</v>
      </c>
      <c r="B6" t="s">
        <v>350</v>
      </c>
      <c r="C6">
        <v>10</v>
      </c>
      <c r="D6" t="s">
        <v>36</v>
      </c>
      <c r="E6">
        <v>45</v>
      </c>
      <c r="F6">
        <v>450</v>
      </c>
      <c r="G6" t="s">
        <v>8</v>
      </c>
      <c r="H6" s="3">
        <v>45882</v>
      </c>
      <c r="J6">
        <v>4</v>
      </c>
      <c r="K6" t="s">
        <v>379</v>
      </c>
      <c r="L6" t="s">
        <v>361</v>
      </c>
      <c r="M6">
        <v>40</v>
      </c>
      <c r="Q6">
        <v>4</v>
      </c>
      <c r="R6" t="s">
        <v>379</v>
      </c>
      <c r="S6" t="s">
        <v>361</v>
      </c>
      <c r="T6">
        <v>40</v>
      </c>
      <c r="X6">
        <v>4</v>
      </c>
      <c r="Y6" t="s">
        <v>397</v>
      </c>
      <c r="Z6" t="s">
        <v>361</v>
      </c>
      <c r="AA6">
        <v>40</v>
      </c>
    </row>
    <row r="7" spans="1:29" x14ac:dyDescent="0.25">
      <c r="A7">
        <v>5</v>
      </c>
      <c r="B7" t="s">
        <v>351</v>
      </c>
      <c r="C7">
        <v>1</v>
      </c>
      <c r="D7" t="s">
        <v>42</v>
      </c>
      <c r="E7">
        <v>0.3</v>
      </c>
      <c r="F7">
        <v>0.3</v>
      </c>
      <c r="G7" t="s">
        <v>8</v>
      </c>
      <c r="H7" s="3">
        <v>45882</v>
      </c>
      <c r="J7">
        <v>5</v>
      </c>
      <c r="K7" t="s">
        <v>380</v>
      </c>
      <c r="L7" t="s">
        <v>361</v>
      </c>
      <c r="M7">
        <v>140</v>
      </c>
      <c r="Q7">
        <v>5</v>
      </c>
      <c r="R7" t="s">
        <v>380</v>
      </c>
      <c r="S7" t="s">
        <v>361</v>
      </c>
      <c r="T7">
        <v>150</v>
      </c>
      <c r="X7">
        <v>5</v>
      </c>
      <c r="Y7" t="s">
        <v>398</v>
      </c>
      <c r="Z7" t="s">
        <v>361</v>
      </c>
      <c r="AA7">
        <v>45</v>
      </c>
    </row>
    <row r="8" spans="1:29" x14ac:dyDescent="0.25">
      <c r="A8">
        <v>6</v>
      </c>
      <c r="B8" t="s">
        <v>352</v>
      </c>
      <c r="C8">
        <v>1</v>
      </c>
      <c r="D8" t="s">
        <v>42</v>
      </c>
      <c r="E8">
        <v>0.4</v>
      </c>
      <c r="F8">
        <v>0.4</v>
      </c>
      <c r="G8" t="s">
        <v>8</v>
      </c>
      <c r="H8" s="3">
        <v>45882</v>
      </c>
      <c r="I8" s="3"/>
      <c r="J8">
        <v>6</v>
      </c>
      <c r="K8" t="s">
        <v>381</v>
      </c>
      <c r="L8" t="s">
        <v>361</v>
      </c>
      <c r="M8">
        <v>120</v>
      </c>
      <c r="Q8">
        <v>6</v>
      </c>
      <c r="R8" t="s">
        <v>381</v>
      </c>
      <c r="S8" t="s">
        <v>361</v>
      </c>
      <c r="T8">
        <v>150</v>
      </c>
      <c r="X8">
        <v>6</v>
      </c>
      <c r="Y8" t="s">
        <v>399</v>
      </c>
      <c r="Z8" t="s">
        <v>361</v>
      </c>
      <c r="AA8">
        <v>50</v>
      </c>
    </row>
    <row r="9" spans="1:29" x14ac:dyDescent="0.25">
      <c r="B9" t="s">
        <v>556</v>
      </c>
      <c r="C9">
        <v>30</v>
      </c>
      <c r="D9" t="s">
        <v>7</v>
      </c>
      <c r="E9">
        <v>10</v>
      </c>
      <c r="F9">
        <v>300</v>
      </c>
      <c r="G9" t="s">
        <v>557</v>
      </c>
      <c r="H9" s="3">
        <v>45902</v>
      </c>
      <c r="K9" t="s">
        <v>382</v>
      </c>
      <c r="L9" t="s">
        <v>361</v>
      </c>
      <c r="M9">
        <v>30</v>
      </c>
      <c r="Q9">
        <v>7</v>
      </c>
      <c r="R9" t="s">
        <v>382</v>
      </c>
      <c r="S9" t="s">
        <v>361</v>
      </c>
      <c r="T9">
        <v>30</v>
      </c>
      <c r="X9">
        <v>7</v>
      </c>
      <c r="Y9" t="s">
        <v>400</v>
      </c>
      <c r="Z9" t="s">
        <v>361</v>
      </c>
      <c r="AA9">
        <v>45</v>
      </c>
    </row>
    <row r="10" spans="1:29" x14ac:dyDescent="0.25">
      <c r="B10" t="s">
        <v>558</v>
      </c>
      <c r="C10">
        <v>10</v>
      </c>
      <c r="D10" t="s">
        <v>7</v>
      </c>
      <c r="E10">
        <v>7</v>
      </c>
      <c r="F10">
        <v>70</v>
      </c>
      <c r="G10" t="s">
        <v>557</v>
      </c>
      <c r="H10" s="3">
        <v>45902</v>
      </c>
      <c r="K10" t="s">
        <v>383</v>
      </c>
      <c r="L10" t="s">
        <v>361</v>
      </c>
      <c r="M10">
        <v>30</v>
      </c>
      <c r="Q10">
        <v>8</v>
      </c>
      <c r="R10" t="s">
        <v>383</v>
      </c>
      <c r="S10" t="s">
        <v>361</v>
      </c>
      <c r="T10">
        <v>30</v>
      </c>
      <c r="X10">
        <v>8</v>
      </c>
      <c r="Y10" t="s">
        <v>401</v>
      </c>
      <c r="Z10" t="s">
        <v>361</v>
      </c>
      <c r="AA10">
        <v>55</v>
      </c>
    </row>
    <row r="11" spans="1:29" x14ac:dyDescent="0.25">
      <c r="J11">
        <v>9</v>
      </c>
      <c r="K11" t="s">
        <v>384</v>
      </c>
      <c r="L11" t="s">
        <v>361</v>
      </c>
      <c r="M11">
        <v>180</v>
      </c>
      <c r="Q11">
        <v>9</v>
      </c>
      <c r="R11" t="s">
        <v>384</v>
      </c>
      <c r="S11" t="s">
        <v>361</v>
      </c>
      <c r="T11">
        <v>250</v>
      </c>
      <c r="X11">
        <v>9</v>
      </c>
      <c r="Y11" t="s">
        <v>402</v>
      </c>
      <c r="Z11" t="s">
        <v>361</v>
      </c>
      <c r="AA11">
        <v>40</v>
      </c>
    </row>
    <row r="12" spans="1:29" x14ac:dyDescent="0.25">
      <c r="J12">
        <v>10</v>
      </c>
      <c r="K12" t="s">
        <v>385</v>
      </c>
      <c r="L12" t="s">
        <v>361</v>
      </c>
      <c r="M12">
        <v>180</v>
      </c>
      <c r="Q12">
        <v>10</v>
      </c>
      <c r="R12" t="s">
        <v>385</v>
      </c>
      <c r="S12" t="s">
        <v>361</v>
      </c>
      <c r="T12">
        <v>250</v>
      </c>
      <c r="X12">
        <v>10</v>
      </c>
      <c r="Y12" t="s">
        <v>403</v>
      </c>
      <c r="Z12" t="s">
        <v>361</v>
      </c>
      <c r="AA12">
        <v>25</v>
      </c>
    </row>
    <row r="13" spans="1:29" x14ac:dyDescent="0.25">
      <c r="Q13">
        <v>11</v>
      </c>
      <c r="R13" t="s">
        <v>387</v>
      </c>
      <c r="S13" t="s">
        <v>361</v>
      </c>
      <c r="T13">
        <v>350</v>
      </c>
      <c r="X13">
        <v>11</v>
      </c>
      <c r="Y13" t="s">
        <v>404</v>
      </c>
      <c r="Z13" t="s">
        <v>361</v>
      </c>
      <c r="AA13">
        <v>100</v>
      </c>
    </row>
    <row r="14" spans="1:29" x14ac:dyDescent="0.25">
      <c r="Q14">
        <v>12</v>
      </c>
      <c r="R14" t="s">
        <v>388</v>
      </c>
      <c r="S14" t="s">
        <v>361</v>
      </c>
      <c r="T14">
        <v>350</v>
      </c>
      <c r="X14">
        <v>12</v>
      </c>
      <c r="Y14" t="s">
        <v>405</v>
      </c>
      <c r="Z14" t="s">
        <v>361</v>
      </c>
      <c r="AA14">
        <v>500</v>
      </c>
    </row>
    <row r="15" spans="1:29" x14ac:dyDescent="0.25">
      <c r="Q15">
        <v>13</v>
      </c>
      <c r="R15" t="s">
        <v>389</v>
      </c>
      <c r="S15" t="s">
        <v>361</v>
      </c>
      <c r="T15">
        <v>350</v>
      </c>
      <c r="X15">
        <v>13</v>
      </c>
      <c r="Y15" t="s">
        <v>406</v>
      </c>
      <c r="Z15" t="s">
        <v>361</v>
      </c>
      <c r="AA15">
        <v>300</v>
      </c>
    </row>
    <row r="16" spans="1:29" x14ac:dyDescent="0.25">
      <c r="Q16">
        <v>14</v>
      </c>
      <c r="R16" t="s">
        <v>390</v>
      </c>
      <c r="S16" t="s">
        <v>361</v>
      </c>
      <c r="T16">
        <v>800</v>
      </c>
      <c r="X16">
        <v>14</v>
      </c>
      <c r="Y16" t="s">
        <v>407</v>
      </c>
      <c r="Z16" t="s">
        <v>361</v>
      </c>
      <c r="AA16">
        <v>80</v>
      </c>
    </row>
    <row r="17" spans="17:27" x14ac:dyDescent="0.25">
      <c r="Q17">
        <v>15</v>
      </c>
      <c r="R17" t="s">
        <v>391</v>
      </c>
      <c r="S17" t="s">
        <v>361</v>
      </c>
      <c r="T17">
        <v>60</v>
      </c>
      <c r="X17">
        <v>15</v>
      </c>
      <c r="Y17" t="s">
        <v>408</v>
      </c>
      <c r="Z17" t="s">
        <v>361</v>
      </c>
      <c r="AA17">
        <v>300</v>
      </c>
    </row>
    <row r="18" spans="17:27" x14ac:dyDescent="0.25">
      <c r="Q18">
        <v>16</v>
      </c>
      <c r="R18" t="s">
        <v>392</v>
      </c>
      <c r="S18" t="s">
        <v>361</v>
      </c>
      <c r="T18">
        <v>70</v>
      </c>
      <c r="X18">
        <v>16</v>
      </c>
      <c r="Y18" t="s">
        <v>409</v>
      </c>
      <c r="Z18" t="s">
        <v>361</v>
      </c>
      <c r="AA18">
        <v>350</v>
      </c>
    </row>
    <row r="19" spans="17:27" x14ac:dyDescent="0.25">
      <c r="X19">
        <v>17</v>
      </c>
      <c r="Y19" t="s">
        <v>410</v>
      </c>
      <c r="Z19" t="s">
        <v>361</v>
      </c>
      <c r="AA19">
        <v>450</v>
      </c>
    </row>
    <row r="20" spans="17:27" x14ac:dyDescent="0.25">
      <c r="X20">
        <v>18</v>
      </c>
      <c r="Y20" t="s">
        <v>411</v>
      </c>
      <c r="Z20" t="s">
        <v>361</v>
      </c>
      <c r="AA20">
        <v>450</v>
      </c>
    </row>
    <row r="21" spans="17:27" x14ac:dyDescent="0.25">
      <c r="X21">
        <v>19</v>
      </c>
      <c r="Y21" t="s">
        <v>412</v>
      </c>
      <c r="Z21" t="s">
        <v>361</v>
      </c>
      <c r="AA21">
        <v>550</v>
      </c>
    </row>
    <row r="22" spans="17:27" x14ac:dyDescent="0.25">
      <c r="X22">
        <v>20</v>
      </c>
      <c r="Y22" t="s">
        <v>413</v>
      </c>
      <c r="Z22" t="s">
        <v>361</v>
      </c>
      <c r="AA22">
        <v>400</v>
      </c>
    </row>
    <row r="23" spans="17:27" x14ac:dyDescent="0.25">
      <c r="X23">
        <v>21</v>
      </c>
      <c r="Y23" t="s">
        <v>414</v>
      </c>
      <c r="Z23" t="s">
        <v>361</v>
      </c>
      <c r="AA23">
        <v>500</v>
      </c>
    </row>
    <row r="24" spans="17:27" x14ac:dyDescent="0.25">
      <c r="X24">
        <v>22</v>
      </c>
      <c r="Y24" t="s">
        <v>415</v>
      </c>
      <c r="Z24" t="s">
        <v>361</v>
      </c>
      <c r="AA24">
        <v>500</v>
      </c>
    </row>
    <row r="25" spans="17:27" x14ac:dyDescent="0.25">
      <c r="X25">
        <v>23</v>
      </c>
      <c r="Y25" t="s">
        <v>416</v>
      </c>
      <c r="Z25" t="s">
        <v>361</v>
      </c>
      <c r="AA25">
        <v>600</v>
      </c>
    </row>
    <row r="26" spans="17:27" x14ac:dyDescent="0.25">
      <c r="X26">
        <v>24</v>
      </c>
      <c r="Y26" t="s">
        <v>417</v>
      </c>
      <c r="Z26" t="s">
        <v>361</v>
      </c>
      <c r="AA26">
        <v>450</v>
      </c>
    </row>
    <row r="27" spans="17:27" x14ac:dyDescent="0.25">
      <c r="X27">
        <v>25</v>
      </c>
      <c r="Y27" t="s">
        <v>418</v>
      </c>
      <c r="Z27" t="s">
        <v>361</v>
      </c>
      <c r="AA27">
        <v>550</v>
      </c>
    </row>
    <row r="28" spans="17:27" x14ac:dyDescent="0.25">
      <c r="X28">
        <v>26</v>
      </c>
      <c r="Y28" t="s">
        <v>419</v>
      </c>
      <c r="Z28" t="s">
        <v>361</v>
      </c>
      <c r="AA28">
        <v>550</v>
      </c>
    </row>
    <row r="29" spans="17:27" x14ac:dyDescent="0.25">
      <c r="X29">
        <v>27</v>
      </c>
      <c r="Y29" t="s">
        <v>420</v>
      </c>
      <c r="Z29" t="s">
        <v>361</v>
      </c>
      <c r="AA29">
        <v>650</v>
      </c>
    </row>
    <row r="30" spans="17:27" x14ac:dyDescent="0.25">
      <c r="X30">
        <v>28</v>
      </c>
      <c r="Y30" t="s">
        <v>421</v>
      </c>
      <c r="Z30" t="s">
        <v>361</v>
      </c>
      <c r="AA30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6165-B2CC-498A-944E-2B84BA1DA772}">
  <dimension ref="A2:R15"/>
  <sheetViews>
    <sheetView zoomScale="75" zoomScaleNormal="75" workbookViewId="0">
      <selection activeCell="I44" sqref="I44"/>
    </sheetView>
  </sheetViews>
  <sheetFormatPr defaultRowHeight="15" x14ac:dyDescent="0.25"/>
  <cols>
    <col min="1" max="1" width="3.7109375" bestFit="1" customWidth="1"/>
    <col min="2" max="2" width="53.28515625" bestFit="1" customWidth="1"/>
    <col min="3" max="3" width="6.42578125" bestFit="1" customWidth="1"/>
    <col min="4" max="4" width="14.42578125" bestFit="1" customWidth="1"/>
    <col min="5" max="5" width="13.28515625" bestFit="1" customWidth="1"/>
    <col min="6" max="6" width="10.85546875" bestFit="1" customWidth="1"/>
    <col min="7" max="7" width="13.28515625" bestFit="1" customWidth="1"/>
    <col min="9" max="9" width="10.85546875" bestFit="1" customWidth="1"/>
    <col min="11" max="11" width="3.7109375" bestFit="1" customWidth="1"/>
    <col min="12" max="12" width="37.28515625" bestFit="1" customWidth="1"/>
  </cols>
  <sheetData>
    <row r="2" spans="1:18" x14ac:dyDescent="0.25">
      <c r="A2" t="s">
        <v>0</v>
      </c>
      <c r="B2" t="s">
        <v>21</v>
      </c>
      <c r="C2" t="s">
        <v>2</v>
      </c>
      <c r="D2" t="s">
        <v>3</v>
      </c>
      <c r="E2" t="s">
        <v>5</v>
      </c>
      <c r="F2" t="s">
        <v>6</v>
      </c>
      <c r="I2" s="3"/>
      <c r="K2" s="6"/>
      <c r="L2" s="6"/>
      <c r="M2" s="6"/>
      <c r="N2" s="6"/>
      <c r="O2" s="6"/>
      <c r="P2" s="6"/>
      <c r="Q2" s="6"/>
      <c r="R2" s="6"/>
    </row>
    <row r="3" spans="1:18" x14ac:dyDescent="0.25">
      <c r="A3">
        <v>1</v>
      </c>
      <c r="B3" t="s">
        <v>345</v>
      </c>
      <c r="C3" t="s">
        <v>30</v>
      </c>
      <c r="D3">
        <v>143</v>
      </c>
      <c r="I3" s="3"/>
      <c r="K3" s="7"/>
      <c r="L3" s="7"/>
      <c r="M3" s="7"/>
      <c r="N3" s="7"/>
      <c r="O3" s="7"/>
      <c r="P3" s="7"/>
      <c r="Q3" s="7"/>
      <c r="R3" s="7"/>
    </row>
    <row r="4" spans="1:18" x14ac:dyDescent="0.25">
      <c r="A4">
        <v>2</v>
      </c>
      <c r="B4" t="s">
        <v>307</v>
      </c>
      <c r="C4" t="s">
        <v>36</v>
      </c>
      <c r="D4">
        <v>76</v>
      </c>
      <c r="I4" s="3"/>
      <c r="R4" s="3"/>
    </row>
    <row r="5" spans="1:18" x14ac:dyDescent="0.25">
      <c r="A5">
        <v>3</v>
      </c>
      <c r="B5" t="s">
        <v>308</v>
      </c>
      <c r="C5" t="s">
        <v>36</v>
      </c>
      <c r="D5">
        <v>22</v>
      </c>
      <c r="I5" s="3"/>
      <c r="R5" s="3"/>
    </row>
    <row r="6" spans="1:18" x14ac:dyDescent="0.25">
      <c r="A6">
        <v>4</v>
      </c>
      <c r="B6" t="s">
        <v>301</v>
      </c>
      <c r="C6" t="s">
        <v>36</v>
      </c>
      <c r="D6">
        <v>23</v>
      </c>
      <c r="E6" t="s">
        <v>18</v>
      </c>
      <c r="F6" s="3">
        <v>44235</v>
      </c>
      <c r="I6" s="3"/>
      <c r="R6" s="3"/>
    </row>
    <row r="7" spans="1:18" x14ac:dyDescent="0.25">
      <c r="A7">
        <v>5</v>
      </c>
      <c r="B7" t="s">
        <v>303</v>
      </c>
      <c r="C7" t="s">
        <v>36</v>
      </c>
      <c r="D7">
        <v>22.5</v>
      </c>
      <c r="E7" t="s">
        <v>19</v>
      </c>
      <c r="F7" s="3">
        <v>44244</v>
      </c>
      <c r="I7" s="3"/>
      <c r="R7" s="3"/>
    </row>
    <row r="8" spans="1:18" x14ac:dyDescent="0.25">
      <c r="A8">
        <v>6</v>
      </c>
      <c r="B8" t="s">
        <v>302</v>
      </c>
      <c r="C8" t="s">
        <v>50</v>
      </c>
      <c r="D8">
        <v>25</v>
      </c>
      <c r="E8" t="s">
        <v>18</v>
      </c>
      <c r="F8" s="3">
        <v>44235</v>
      </c>
      <c r="I8" s="3"/>
      <c r="R8" s="3"/>
    </row>
    <row r="9" spans="1:18" x14ac:dyDescent="0.25">
      <c r="A9">
        <v>7</v>
      </c>
      <c r="B9" t="s">
        <v>304</v>
      </c>
      <c r="C9" t="s">
        <v>305</v>
      </c>
      <c r="D9">
        <v>85</v>
      </c>
      <c r="E9" t="s">
        <v>19</v>
      </c>
      <c r="F9" s="3">
        <v>44244</v>
      </c>
      <c r="I9" s="3"/>
      <c r="R9" s="3"/>
    </row>
    <row r="10" spans="1:18" x14ac:dyDescent="0.25">
      <c r="A10">
        <v>8</v>
      </c>
      <c r="B10" t="s">
        <v>306</v>
      </c>
      <c r="C10" t="s">
        <v>305</v>
      </c>
      <c r="D10">
        <v>28</v>
      </c>
      <c r="E10" t="s">
        <v>20</v>
      </c>
      <c r="F10" s="3">
        <v>44244</v>
      </c>
      <c r="I10" s="3"/>
      <c r="R10" s="3"/>
    </row>
    <row r="11" spans="1:18" x14ac:dyDescent="0.25">
      <c r="A11">
        <v>9</v>
      </c>
      <c r="B11" t="s">
        <v>353</v>
      </c>
      <c r="C11" t="s">
        <v>36</v>
      </c>
      <c r="D11">
        <v>25</v>
      </c>
      <c r="E11" t="s">
        <v>18</v>
      </c>
      <c r="F11" s="3">
        <v>44235</v>
      </c>
      <c r="I11" s="3"/>
      <c r="R11" s="3"/>
    </row>
    <row r="12" spans="1:18" x14ac:dyDescent="0.25">
      <c r="A12">
        <v>10</v>
      </c>
      <c r="B12" t="s">
        <v>354</v>
      </c>
      <c r="C12" t="s">
        <v>36</v>
      </c>
      <c r="D12">
        <v>48</v>
      </c>
      <c r="E12" t="s">
        <v>18</v>
      </c>
      <c r="F12" s="3">
        <v>44235</v>
      </c>
      <c r="I12" s="3"/>
    </row>
    <row r="13" spans="1:18" x14ac:dyDescent="0.25">
      <c r="A13">
        <v>11</v>
      </c>
      <c r="B13" t="s">
        <v>355</v>
      </c>
      <c r="C13" t="s">
        <v>36</v>
      </c>
      <c r="D13">
        <v>20</v>
      </c>
      <c r="E13" t="s">
        <v>18</v>
      </c>
      <c r="F13" s="3">
        <v>44235</v>
      </c>
      <c r="I13" s="3"/>
    </row>
    <row r="14" spans="1:18" x14ac:dyDescent="0.25">
      <c r="A14">
        <v>12</v>
      </c>
      <c r="B14" t="s">
        <v>356</v>
      </c>
      <c r="C14" t="s">
        <v>36</v>
      </c>
      <c r="D14">
        <v>12</v>
      </c>
      <c r="E14" t="s">
        <v>19</v>
      </c>
      <c r="F14" s="3">
        <v>44244</v>
      </c>
    </row>
    <row r="15" spans="1:18" x14ac:dyDescent="0.25">
      <c r="A15">
        <v>13</v>
      </c>
      <c r="B15" t="s">
        <v>357</v>
      </c>
      <c r="C15" t="s">
        <v>50</v>
      </c>
      <c r="D15">
        <v>60</v>
      </c>
      <c r="E15" t="s">
        <v>19</v>
      </c>
      <c r="F15" s="3">
        <v>44244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2879-5206-4EA7-8DD4-F3D771EF694F}">
  <dimension ref="A2:N101"/>
  <sheetViews>
    <sheetView zoomScale="75" zoomScaleNormal="75" workbookViewId="0">
      <selection activeCell="B10" sqref="B10"/>
    </sheetView>
  </sheetViews>
  <sheetFormatPr defaultRowHeight="15" x14ac:dyDescent="0.25"/>
  <cols>
    <col min="1" max="1" width="4.7109375" style="2" bestFit="1" customWidth="1"/>
    <col min="2" max="2" width="56.7109375" bestFit="1" customWidth="1"/>
    <col min="3" max="3" width="5.85546875" style="2" bestFit="1" customWidth="1"/>
    <col min="4" max="4" width="7.5703125" style="2" bestFit="1" customWidth="1"/>
    <col min="5" max="5" width="14.85546875" style="4" bestFit="1" customWidth="1"/>
    <col min="6" max="6" width="10.42578125" style="4" bestFit="1" customWidth="1"/>
    <col min="8" max="8" width="3.7109375" bestFit="1" customWidth="1"/>
    <col min="9" max="9" width="60" bestFit="1" customWidth="1"/>
    <col min="10" max="10" width="5.85546875" bestFit="1" customWidth="1"/>
    <col min="11" max="11" width="7.5703125" bestFit="1" customWidth="1"/>
    <col min="12" max="12" width="14.85546875" bestFit="1" customWidth="1"/>
    <col min="13" max="13" width="10.42578125" bestFit="1" customWidth="1"/>
  </cols>
  <sheetData>
    <row r="2" spans="1:6" x14ac:dyDescent="0.25">
      <c r="A2" s="2" t="s">
        <v>0</v>
      </c>
      <c r="B2" s="2" t="s">
        <v>21</v>
      </c>
      <c r="C2" s="2" t="s">
        <v>1</v>
      </c>
      <c r="D2" s="2" t="s">
        <v>2</v>
      </c>
      <c r="E2" s="5" t="s">
        <v>22</v>
      </c>
      <c r="F2" s="5" t="s">
        <v>4</v>
      </c>
    </row>
    <row r="3" spans="1:6" x14ac:dyDescent="0.25">
      <c r="A3">
        <v>1</v>
      </c>
      <c r="B3" t="s">
        <v>131</v>
      </c>
      <c r="C3" s="1">
        <v>13</v>
      </c>
      <c r="D3" s="1" t="s">
        <v>23</v>
      </c>
      <c r="E3" s="4">
        <v>450</v>
      </c>
      <c r="F3" s="4">
        <f>C3*E3</f>
        <v>5850</v>
      </c>
    </row>
    <row r="4" spans="1:6" x14ac:dyDescent="0.25">
      <c r="A4">
        <v>2</v>
      </c>
      <c r="B4" t="s">
        <v>93</v>
      </c>
      <c r="C4" s="1">
        <v>4</v>
      </c>
      <c r="D4" s="1" t="s">
        <v>25</v>
      </c>
      <c r="E4" s="4">
        <v>15</v>
      </c>
      <c r="F4" s="4">
        <f t="shared" ref="F4:F67" si="0">C4*E4</f>
        <v>60</v>
      </c>
    </row>
    <row r="5" spans="1:6" x14ac:dyDescent="0.25">
      <c r="A5">
        <v>3</v>
      </c>
      <c r="B5" t="s">
        <v>123</v>
      </c>
      <c r="C5" s="1">
        <v>12</v>
      </c>
      <c r="D5" s="1" t="s">
        <v>26</v>
      </c>
      <c r="E5" s="4">
        <v>148</v>
      </c>
      <c r="F5" s="4">
        <f t="shared" si="0"/>
        <v>1776</v>
      </c>
    </row>
    <row r="6" spans="1:6" x14ac:dyDescent="0.25">
      <c r="A6">
        <v>4</v>
      </c>
      <c r="B6" t="s">
        <v>27</v>
      </c>
      <c r="C6" s="1">
        <v>8</v>
      </c>
      <c r="D6" s="1" t="s">
        <v>25</v>
      </c>
      <c r="E6" s="4">
        <v>10</v>
      </c>
      <c r="F6" s="4">
        <f t="shared" si="0"/>
        <v>80</v>
      </c>
    </row>
    <row r="7" spans="1:6" x14ac:dyDescent="0.25">
      <c r="A7">
        <v>5</v>
      </c>
      <c r="B7" t="s">
        <v>28</v>
      </c>
      <c r="C7" s="1">
        <v>1</v>
      </c>
      <c r="D7" s="1" t="s">
        <v>29</v>
      </c>
      <c r="E7" s="4">
        <v>108.8</v>
      </c>
      <c r="F7" s="4">
        <f t="shared" si="0"/>
        <v>108.8</v>
      </c>
    </row>
    <row r="8" spans="1:6" x14ac:dyDescent="0.25">
      <c r="A8">
        <v>6</v>
      </c>
      <c r="B8" t="s">
        <v>94</v>
      </c>
      <c r="C8" s="1">
        <v>25</v>
      </c>
      <c r="D8" s="1" t="s">
        <v>30</v>
      </c>
      <c r="E8" s="4">
        <v>48</v>
      </c>
      <c r="F8" s="4">
        <f t="shared" si="0"/>
        <v>1200</v>
      </c>
    </row>
    <row r="9" spans="1:6" x14ac:dyDescent="0.25">
      <c r="A9">
        <v>7</v>
      </c>
      <c r="B9" t="s">
        <v>31</v>
      </c>
      <c r="C9" s="1">
        <v>2</v>
      </c>
      <c r="D9" s="1" t="s">
        <v>32</v>
      </c>
      <c r="E9" s="4">
        <v>130</v>
      </c>
      <c r="F9" s="4">
        <f t="shared" si="0"/>
        <v>260</v>
      </c>
    </row>
    <row r="10" spans="1:6" x14ac:dyDescent="0.25">
      <c r="A10">
        <v>8</v>
      </c>
      <c r="B10" t="s">
        <v>34</v>
      </c>
      <c r="C10" s="1">
        <v>624</v>
      </c>
      <c r="D10" s="1" t="s">
        <v>35</v>
      </c>
      <c r="E10" s="4">
        <v>15</v>
      </c>
      <c r="F10" s="4">
        <f t="shared" si="0"/>
        <v>9360</v>
      </c>
    </row>
    <row r="11" spans="1:6" x14ac:dyDescent="0.25">
      <c r="A11">
        <v>9</v>
      </c>
      <c r="B11" t="s">
        <v>95</v>
      </c>
      <c r="C11" s="1">
        <v>4</v>
      </c>
      <c r="D11" s="1" t="s">
        <v>36</v>
      </c>
      <c r="E11" s="4">
        <v>28</v>
      </c>
      <c r="F11" s="4">
        <f t="shared" si="0"/>
        <v>112</v>
      </c>
    </row>
    <row r="12" spans="1:6" x14ac:dyDescent="0.25">
      <c r="A12">
        <v>10</v>
      </c>
      <c r="B12" t="s">
        <v>37</v>
      </c>
      <c r="C12" s="1">
        <v>4</v>
      </c>
      <c r="D12" s="1" t="s">
        <v>38</v>
      </c>
      <c r="E12" s="4">
        <v>68</v>
      </c>
      <c r="F12" s="4">
        <f t="shared" si="0"/>
        <v>272</v>
      </c>
    </row>
    <row r="13" spans="1:6" x14ac:dyDescent="0.25">
      <c r="A13">
        <v>11</v>
      </c>
      <c r="B13" t="s">
        <v>39</v>
      </c>
      <c r="C13" s="1">
        <v>16</v>
      </c>
      <c r="D13" s="1" t="s">
        <v>40</v>
      </c>
      <c r="E13" s="4">
        <v>8</v>
      </c>
      <c r="F13" s="4">
        <f t="shared" si="0"/>
        <v>128</v>
      </c>
    </row>
    <row r="14" spans="1:6" x14ac:dyDescent="0.25">
      <c r="A14">
        <v>12</v>
      </c>
      <c r="B14" t="s">
        <v>41</v>
      </c>
      <c r="C14" s="1">
        <v>17</v>
      </c>
      <c r="D14" s="1" t="s">
        <v>42</v>
      </c>
      <c r="E14" s="4">
        <v>4</v>
      </c>
      <c r="F14" s="4">
        <f t="shared" si="0"/>
        <v>68</v>
      </c>
    </row>
    <row r="15" spans="1:6" x14ac:dyDescent="0.25">
      <c r="A15">
        <v>13</v>
      </c>
      <c r="B15" t="s">
        <v>96</v>
      </c>
      <c r="C15" s="1">
        <v>1</v>
      </c>
      <c r="D15" s="1" t="s">
        <v>43</v>
      </c>
      <c r="E15" s="4">
        <v>59</v>
      </c>
      <c r="F15" s="4">
        <f t="shared" si="0"/>
        <v>59</v>
      </c>
    </row>
    <row r="16" spans="1:6" x14ac:dyDescent="0.25">
      <c r="A16">
        <v>14</v>
      </c>
      <c r="B16" t="s">
        <v>44</v>
      </c>
      <c r="C16" s="1">
        <v>3</v>
      </c>
      <c r="D16" s="1" t="s">
        <v>36</v>
      </c>
      <c r="E16" s="4">
        <v>3</v>
      </c>
      <c r="F16" s="4">
        <f t="shared" si="0"/>
        <v>9</v>
      </c>
    </row>
    <row r="17" spans="1:6" x14ac:dyDescent="0.25">
      <c r="A17">
        <v>15</v>
      </c>
      <c r="B17" t="s">
        <v>97</v>
      </c>
      <c r="C17" s="1">
        <v>5</v>
      </c>
      <c r="D17" s="1" t="s">
        <v>36</v>
      </c>
      <c r="E17" s="4">
        <v>45</v>
      </c>
      <c r="F17" s="4">
        <f t="shared" si="0"/>
        <v>225</v>
      </c>
    </row>
    <row r="18" spans="1:6" x14ac:dyDescent="0.25">
      <c r="A18">
        <v>16</v>
      </c>
      <c r="B18" t="s">
        <v>98</v>
      </c>
      <c r="C18" s="1">
        <v>38</v>
      </c>
      <c r="D18" s="1" t="s">
        <v>30</v>
      </c>
      <c r="E18" s="4">
        <v>22</v>
      </c>
      <c r="F18" s="4">
        <f t="shared" si="0"/>
        <v>836</v>
      </c>
    </row>
    <row r="19" spans="1:6" x14ac:dyDescent="0.25">
      <c r="A19">
        <v>17</v>
      </c>
      <c r="B19" t="s">
        <v>99</v>
      </c>
      <c r="C19" s="1">
        <v>82</v>
      </c>
      <c r="D19" s="1" t="s">
        <v>36</v>
      </c>
      <c r="E19" s="4">
        <v>22</v>
      </c>
      <c r="F19" s="4">
        <f t="shared" si="0"/>
        <v>1804</v>
      </c>
    </row>
    <row r="20" spans="1:6" x14ac:dyDescent="0.25">
      <c r="A20">
        <v>18</v>
      </c>
      <c r="B20" t="s">
        <v>100</v>
      </c>
      <c r="C20" s="1">
        <v>66</v>
      </c>
      <c r="D20" s="1" t="s">
        <v>36</v>
      </c>
      <c r="E20" s="4">
        <v>13</v>
      </c>
      <c r="F20" s="4">
        <f t="shared" si="0"/>
        <v>858</v>
      </c>
    </row>
    <row r="21" spans="1:6" x14ac:dyDescent="0.25">
      <c r="A21">
        <v>19</v>
      </c>
      <c r="B21" t="s">
        <v>101</v>
      </c>
      <c r="C21" s="1">
        <v>60</v>
      </c>
      <c r="D21" s="1" t="s">
        <v>36</v>
      </c>
      <c r="E21" s="4">
        <v>3</v>
      </c>
      <c r="F21" s="4">
        <f t="shared" si="0"/>
        <v>180</v>
      </c>
    </row>
    <row r="22" spans="1:6" x14ac:dyDescent="0.25">
      <c r="A22">
        <v>20</v>
      </c>
      <c r="B22" t="s">
        <v>45</v>
      </c>
      <c r="C22" s="1">
        <v>4</v>
      </c>
      <c r="D22" s="1" t="s">
        <v>36</v>
      </c>
      <c r="E22" s="4">
        <v>15</v>
      </c>
      <c r="F22" s="4">
        <f t="shared" si="0"/>
        <v>60</v>
      </c>
    </row>
    <row r="23" spans="1:6" x14ac:dyDescent="0.25">
      <c r="A23">
        <v>21</v>
      </c>
      <c r="B23" t="s">
        <v>102</v>
      </c>
      <c r="C23" s="1">
        <v>1</v>
      </c>
      <c r="D23" s="1" t="s">
        <v>38</v>
      </c>
      <c r="E23" s="4">
        <v>22</v>
      </c>
      <c r="F23" s="4">
        <f t="shared" si="0"/>
        <v>22</v>
      </c>
    </row>
    <row r="24" spans="1:6" x14ac:dyDescent="0.25">
      <c r="A24">
        <v>22</v>
      </c>
      <c r="B24" t="s">
        <v>46</v>
      </c>
      <c r="C24" s="1">
        <v>2</v>
      </c>
      <c r="D24" s="1" t="s">
        <v>29</v>
      </c>
      <c r="E24" s="4">
        <v>22</v>
      </c>
      <c r="F24" s="4">
        <f t="shared" si="0"/>
        <v>44</v>
      </c>
    </row>
    <row r="25" spans="1:6" x14ac:dyDescent="0.25">
      <c r="A25">
        <v>23</v>
      </c>
      <c r="B25" t="s">
        <v>47</v>
      </c>
      <c r="C25" s="1">
        <v>1</v>
      </c>
      <c r="D25" s="1" t="s">
        <v>48</v>
      </c>
      <c r="E25" s="4">
        <v>85</v>
      </c>
      <c r="F25" s="4">
        <f t="shared" si="0"/>
        <v>85</v>
      </c>
    </row>
    <row r="26" spans="1:6" x14ac:dyDescent="0.25">
      <c r="A26">
        <v>24</v>
      </c>
      <c r="B26" t="s">
        <v>103</v>
      </c>
      <c r="C26" s="1">
        <v>20</v>
      </c>
      <c r="D26" s="1" t="s">
        <v>43</v>
      </c>
      <c r="E26" s="4">
        <v>3.3</v>
      </c>
      <c r="F26" s="4">
        <f t="shared" si="0"/>
        <v>66</v>
      </c>
    </row>
    <row r="27" spans="1:6" x14ac:dyDescent="0.25">
      <c r="A27">
        <v>25</v>
      </c>
      <c r="B27" t="s">
        <v>49</v>
      </c>
      <c r="C27" s="1">
        <v>80</v>
      </c>
      <c r="D27" s="1" t="s">
        <v>50</v>
      </c>
      <c r="E27" s="4">
        <v>6.5</v>
      </c>
      <c r="F27" s="4">
        <f t="shared" si="0"/>
        <v>520</v>
      </c>
    </row>
    <row r="28" spans="1:6" x14ac:dyDescent="0.25">
      <c r="A28">
        <v>26</v>
      </c>
      <c r="B28" t="s">
        <v>104</v>
      </c>
      <c r="C28" s="1">
        <v>30</v>
      </c>
      <c r="D28" s="1" t="s">
        <v>42</v>
      </c>
      <c r="E28" s="4">
        <v>23.9</v>
      </c>
      <c r="F28" s="4">
        <f t="shared" si="0"/>
        <v>717</v>
      </c>
    </row>
    <row r="29" spans="1:6" x14ac:dyDescent="0.25">
      <c r="A29">
        <v>27</v>
      </c>
      <c r="B29" t="s">
        <v>105</v>
      </c>
      <c r="C29" s="1">
        <v>9</v>
      </c>
      <c r="D29" s="1" t="s">
        <v>42</v>
      </c>
      <c r="E29" s="4">
        <v>665</v>
      </c>
      <c r="F29" s="4">
        <f t="shared" si="0"/>
        <v>5985</v>
      </c>
    </row>
    <row r="30" spans="1:6" x14ac:dyDescent="0.25">
      <c r="A30">
        <v>28</v>
      </c>
      <c r="B30" t="s">
        <v>51</v>
      </c>
      <c r="C30" s="1">
        <v>10</v>
      </c>
      <c r="D30" s="1" t="s">
        <v>42</v>
      </c>
      <c r="E30" s="4">
        <v>8.5</v>
      </c>
      <c r="F30" s="4">
        <f t="shared" si="0"/>
        <v>85</v>
      </c>
    </row>
    <row r="31" spans="1:6" x14ac:dyDescent="0.25">
      <c r="A31">
        <v>29</v>
      </c>
      <c r="B31" t="s">
        <v>52</v>
      </c>
      <c r="C31" s="1">
        <v>1</v>
      </c>
      <c r="D31" s="1" t="s">
        <v>42</v>
      </c>
      <c r="E31" s="4">
        <v>450</v>
      </c>
      <c r="F31" s="4">
        <f t="shared" si="0"/>
        <v>450</v>
      </c>
    </row>
    <row r="32" spans="1:6" x14ac:dyDescent="0.25">
      <c r="A32">
        <v>30</v>
      </c>
      <c r="B32" t="s">
        <v>53</v>
      </c>
      <c r="C32" s="1">
        <v>5</v>
      </c>
      <c r="D32" s="1" t="s">
        <v>25</v>
      </c>
      <c r="E32" s="4">
        <v>128</v>
      </c>
      <c r="F32" s="4">
        <f t="shared" si="0"/>
        <v>640</v>
      </c>
    </row>
    <row r="33" spans="1:6" x14ac:dyDescent="0.25">
      <c r="A33">
        <v>31</v>
      </c>
      <c r="B33" t="s">
        <v>54</v>
      </c>
      <c r="C33" s="1">
        <v>6</v>
      </c>
      <c r="D33" s="1" t="s">
        <v>25</v>
      </c>
      <c r="E33" s="4">
        <v>85</v>
      </c>
      <c r="F33" s="4">
        <f t="shared" si="0"/>
        <v>510</v>
      </c>
    </row>
    <row r="34" spans="1:6" x14ac:dyDescent="0.25">
      <c r="A34">
        <v>32</v>
      </c>
      <c r="B34" t="s">
        <v>55</v>
      </c>
      <c r="C34" s="1">
        <v>143</v>
      </c>
      <c r="D34" s="1" t="s">
        <v>42</v>
      </c>
      <c r="E34" s="4">
        <v>2.8</v>
      </c>
      <c r="F34" s="4">
        <f t="shared" si="0"/>
        <v>400.4</v>
      </c>
    </row>
    <row r="35" spans="1:6" x14ac:dyDescent="0.25">
      <c r="A35">
        <v>33</v>
      </c>
      <c r="B35" t="s">
        <v>106</v>
      </c>
      <c r="C35" s="1">
        <v>1</v>
      </c>
      <c r="D35" s="1" t="s">
        <v>50</v>
      </c>
      <c r="E35" s="4">
        <v>1315</v>
      </c>
      <c r="F35" s="4">
        <f t="shared" si="0"/>
        <v>1315</v>
      </c>
    </row>
    <row r="36" spans="1:6" x14ac:dyDescent="0.25">
      <c r="A36">
        <v>34</v>
      </c>
      <c r="B36" t="s">
        <v>56</v>
      </c>
      <c r="C36" s="1">
        <v>30</v>
      </c>
      <c r="D36" s="1" t="s">
        <v>42</v>
      </c>
      <c r="E36" s="4">
        <v>0.35</v>
      </c>
      <c r="F36" s="4">
        <f t="shared" si="0"/>
        <v>10.5</v>
      </c>
    </row>
    <row r="37" spans="1:6" x14ac:dyDescent="0.25">
      <c r="A37">
        <v>35</v>
      </c>
      <c r="B37" t="s">
        <v>57</v>
      </c>
      <c r="C37" s="1">
        <v>20</v>
      </c>
      <c r="D37" s="1" t="s">
        <v>42</v>
      </c>
      <c r="E37" s="4">
        <v>5.9</v>
      </c>
      <c r="F37" s="4">
        <f t="shared" si="0"/>
        <v>118</v>
      </c>
    </row>
    <row r="38" spans="1:6" x14ac:dyDescent="0.25">
      <c r="A38">
        <v>36</v>
      </c>
      <c r="B38" t="s">
        <v>58</v>
      </c>
      <c r="C38" s="1">
        <v>3</v>
      </c>
      <c r="D38" s="1" t="s">
        <v>42</v>
      </c>
      <c r="E38" s="4">
        <v>85.8</v>
      </c>
      <c r="F38" s="4">
        <f t="shared" si="0"/>
        <v>257.39999999999998</v>
      </c>
    </row>
    <row r="39" spans="1:6" x14ac:dyDescent="0.25">
      <c r="A39">
        <v>37</v>
      </c>
      <c r="B39" t="s">
        <v>59</v>
      </c>
      <c r="C39" s="1">
        <v>3</v>
      </c>
      <c r="D39" s="1" t="s">
        <v>42</v>
      </c>
      <c r="E39" s="4">
        <v>90</v>
      </c>
      <c r="F39" s="4">
        <f t="shared" si="0"/>
        <v>270</v>
      </c>
    </row>
    <row r="40" spans="1:6" x14ac:dyDescent="0.25">
      <c r="A40">
        <v>38</v>
      </c>
      <c r="B40" t="s">
        <v>107</v>
      </c>
      <c r="C40" s="1">
        <v>4</v>
      </c>
      <c r="D40" s="1" t="s">
        <v>36</v>
      </c>
      <c r="E40" s="4">
        <v>100</v>
      </c>
      <c r="F40" s="4">
        <f t="shared" si="0"/>
        <v>400</v>
      </c>
    </row>
    <row r="41" spans="1:6" x14ac:dyDescent="0.25">
      <c r="A41">
        <v>39</v>
      </c>
      <c r="B41" t="s">
        <v>60</v>
      </c>
      <c r="C41" s="1">
        <v>1</v>
      </c>
      <c r="D41" s="1" t="s">
        <v>36</v>
      </c>
      <c r="E41" s="4">
        <v>74.099999999999994</v>
      </c>
      <c r="F41" s="4">
        <f t="shared" si="0"/>
        <v>74.099999999999994</v>
      </c>
    </row>
    <row r="42" spans="1:6" x14ac:dyDescent="0.25">
      <c r="A42">
        <v>40</v>
      </c>
      <c r="B42" t="s">
        <v>61</v>
      </c>
      <c r="C42" s="1">
        <v>15</v>
      </c>
      <c r="D42" s="1" t="s">
        <v>62</v>
      </c>
      <c r="E42" s="4">
        <v>10.5</v>
      </c>
      <c r="F42" s="4">
        <f t="shared" si="0"/>
        <v>157.5</v>
      </c>
    </row>
    <row r="43" spans="1:6" x14ac:dyDescent="0.25">
      <c r="A43">
        <v>41</v>
      </c>
      <c r="B43" t="s">
        <v>108</v>
      </c>
      <c r="C43" s="1">
        <v>19</v>
      </c>
      <c r="D43" s="1" t="s">
        <v>36</v>
      </c>
      <c r="E43" s="4">
        <v>88</v>
      </c>
      <c r="F43" s="4">
        <f t="shared" si="0"/>
        <v>1672</v>
      </c>
    </row>
    <row r="44" spans="1:6" x14ac:dyDescent="0.25">
      <c r="A44">
        <v>42</v>
      </c>
      <c r="B44" t="s">
        <v>109</v>
      </c>
      <c r="C44" s="1">
        <v>28</v>
      </c>
      <c r="D44" s="1" t="s">
        <v>36</v>
      </c>
      <c r="E44" s="4">
        <v>46</v>
      </c>
      <c r="F44" s="4">
        <f t="shared" si="0"/>
        <v>1288</v>
      </c>
    </row>
    <row r="45" spans="1:6" x14ac:dyDescent="0.25">
      <c r="A45">
        <v>43</v>
      </c>
      <c r="B45" t="s">
        <v>63</v>
      </c>
      <c r="C45" s="1">
        <v>54</v>
      </c>
      <c r="D45" s="1" t="s">
        <v>36</v>
      </c>
      <c r="E45" s="4">
        <v>4</v>
      </c>
      <c r="F45" s="4">
        <f t="shared" si="0"/>
        <v>216</v>
      </c>
    </row>
    <row r="46" spans="1:6" x14ac:dyDescent="0.25">
      <c r="A46">
        <v>44</v>
      </c>
      <c r="B46" t="s">
        <v>64</v>
      </c>
      <c r="C46" s="1">
        <v>180</v>
      </c>
      <c r="D46" s="1" t="s">
        <v>36</v>
      </c>
      <c r="E46" s="4">
        <v>1.1000000000000001</v>
      </c>
      <c r="F46" s="4">
        <f t="shared" si="0"/>
        <v>198.00000000000003</v>
      </c>
    </row>
    <row r="47" spans="1:6" x14ac:dyDescent="0.25">
      <c r="A47">
        <v>45</v>
      </c>
      <c r="B47" t="s">
        <v>65</v>
      </c>
      <c r="C47" s="1">
        <v>72</v>
      </c>
      <c r="D47" s="1" t="s">
        <v>36</v>
      </c>
      <c r="E47" s="4">
        <v>4</v>
      </c>
      <c r="F47" s="4">
        <f t="shared" si="0"/>
        <v>288</v>
      </c>
    </row>
    <row r="48" spans="1:6" x14ac:dyDescent="0.25">
      <c r="A48">
        <v>46</v>
      </c>
      <c r="B48" t="s">
        <v>110</v>
      </c>
      <c r="C48" s="1">
        <v>26</v>
      </c>
      <c r="D48" s="1" t="s">
        <v>36</v>
      </c>
      <c r="E48" s="4">
        <v>20</v>
      </c>
      <c r="F48" s="4">
        <f t="shared" si="0"/>
        <v>520</v>
      </c>
    </row>
    <row r="49" spans="1:6" x14ac:dyDescent="0.25">
      <c r="A49">
        <v>47</v>
      </c>
      <c r="B49" t="s">
        <v>111</v>
      </c>
      <c r="C49" s="1">
        <v>108</v>
      </c>
      <c r="D49" s="1" t="s">
        <v>36</v>
      </c>
      <c r="E49" s="4">
        <v>10.9</v>
      </c>
      <c r="F49" s="4">
        <f t="shared" si="0"/>
        <v>1177.2</v>
      </c>
    </row>
    <row r="50" spans="1:6" x14ac:dyDescent="0.25">
      <c r="A50">
        <v>48</v>
      </c>
      <c r="B50" t="s">
        <v>112</v>
      </c>
      <c r="C50" s="1">
        <v>9</v>
      </c>
      <c r="D50" s="1" t="s">
        <v>36</v>
      </c>
      <c r="E50" s="4">
        <v>110</v>
      </c>
      <c r="F50" s="4">
        <f t="shared" si="0"/>
        <v>990</v>
      </c>
    </row>
    <row r="51" spans="1:6" x14ac:dyDescent="0.25">
      <c r="A51">
        <v>49</v>
      </c>
      <c r="B51" t="s">
        <v>137</v>
      </c>
      <c r="C51" s="1">
        <v>26</v>
      </c>
      <c r="D51" s="1" t="s">
        <v>66</v>
      </c>
      <c r="E51" s="4">
        <v>28</v>
      </c>
      <c r="F51" s="4">
        <f t="shared" si="0"/>
        <v>728</v>
      </c>
    </row>
    <row r="52" spans="1:6" x14ac:dyDescent="0.25">
      <c r="A52">
        <v>50</v>
      </c>
      <c r="B52" t="s">
        <v>136</v>
      </c>
      <c r="C52" s="1">
        <v>42</v>
      </c>
      <c r="D52" s="1" t="s">
        <v>66</v>
      </c>
      <c r="E52" s="4">
        <v>10</v>
      </c>
      <c r="F52" s="4">
        <f t="shared" si="0"/>
        <v>420</v>
      </c>
    </row>
    <row r="53" spans="1:6" x14ac:dyDescent="0.25">
      <c r="A53">
        <v>51</v>
      </c>
      <c r="B53" t="s">
        <v>113</v>
      </c>
      <c r="C53" s="1">
        <v>192</v>
      </c>
      <c r="D53" s="1" t="s">
        <v>36</v>
      </c>
      <c r="E53" s="4">
        <v>0.4</v>
      </c>
      <c r="F53" s="4">
        <f t="shared" si="0"/>
        <v>76.800000000000011</v>
      </c>
    </row>
    <row r="54" spans="1:6" x14ac:dyDescent="0.25">
      <c r="A54">
        <v>52</v>
      </c>
      <c r="B54" t="s">
        <v>124</v>
      </c>
      <c r="C54" s="1">
        <v>100</v>
      </c>
      <c r="D54" s="1" t="s">
        <v>36</v>
      </c>
      <c r="E54" s="4">
        <v>10</v>
      </c>
      <c r="F54" s="4">
        <f t="shared" si="0"/>
        <v>1000</v>
      </c>
    </row>
    <row r="55" spans="1:6" x14ac:dyDescent="0.25">
      <c r="A55">
        <v>53</v>
      </c>
      <c r="B55" t="s">
        <v>67</v>
      </c>
      <c r="C55" s="1">
        <v>3</v>
      </c>
      <c r="D55" s="1" t="s">
        <v>68</v>
      </c>
      <c r="E55" s="4">
        <v>8</v>
      </c>
      <c r="F55" s="4">
        <f t="shared" si="0"/>
        <v>24</v>
      </c>
    </row>
    <row r="56" spans="1:6" x14ac:dyDescent="0.25">
      <c r="A56">
        <v>54</v>
      </c>
      <c r="B56" t="s">
        <v>69</v>
      </c>
      <c r="C56" s="1">
        <v>3</v>
      </c>
      <c r="D56" s="1" t="s">
        <v>68</v>
      </c>
      <c r="E56" s="4">
        <v>8</v>
      </c>
      <c r="F56" s="4">
        <f t="shared" si="0"/>
        <v>24</v>
      </c>
    </row>
    <row r="57" spans="1:6" x14ac:dyDescent="0.25">
      <c r="A57">
        <v>55</v>
      </c>
      <c r="B57" t="s">
        <v>114</v>
      </c>
      <c r="C57" s="1">
        <v>5</v>
      </c>
      <c r="D57" s="1" t="s">
        <v>42</v>
      </c>
      <c r="E57" s="4">
        <v>15</v>
      </c>
      <c r="F57" s="4">
        <f t="shared" si="0"/>
        <v>75</v>
      </c>
    </row>
    <row r="58" spans="1:6" x14ac:dyDescent="0.25">
      <c r="A58">
        <v>56</v>
      </c>
      <c r="B58" t="s">
        <v>115</v>
      </c>
      <c r="C58" s="1">
        <v>1</v>
      </c>
      <c r="D58" s="1" t="s">
        <v>42</v>
      </c>
      <c r="E58" s="4">
        <v>19</v>
      </c>
      <c r="F58" s="4">
        <f t="shared" si="0"/>
        <v>19</v>
      </c>
    </row>
    <row r="59" spans="1:6" x14ac:dyDescent="0.25">
      <c r="A59">
        <v>57</v>
      </c>
      <c r="B59" t="s">
        <v>116</v>
      </c>
      <c r="C59" s="1">
        <v>2</v>
      </c>
      <c r="D59" s="1" t="s">
        <v>71</v>
      </c>
      <c r="E59" s="4">
        <v>10</v>
      </c>
      <c r="F59" s="4">
        <f t="shared" si="0"/>
        <v>20</v>
      </c>
    </row>
    <row r="60" spans="1:6" x14ac:dyDescent="0.25">
      <c r="A60">
        <v>58</v>
      </c>
      <c r="B60" t="s">
        <v>117</v>
      </c>
      <c r="C60" s="1">
        <v>5</v>
      </c>
      <c r="D60" s="1" t="s">
        <v>36</v>
      </c>
      <c r="E60" s="4">
        <v>0.8</v>
      </c>
      <c r="F60" s="4">
        <f t="shared" si="0"/>
        <v>4</v>
      </c>
    </row>
    <row r="61" spans="1:6" x14ac:dyDescent="0.25">
      <c r="A61">
        <v>59</v>
      </c>
      <c r="B61" t="s">
        <v>118</v>
      </c>
      <c r="C61" s="1">
        <v>5</v>
      </c>
      <c r="D61" s="1" t="s">
        <v>36</v>
      </c>
      <c r="E61" s="4">
        <v>3.5</v>
      </c>
      <c r="F61" s="4">
        <f t="shared" si="0"/>
        <v>17.5</v>
      </c>
    </row>
    <row r="62" spans="1:6" x14ac:dyDescent="0.25">
      <c r="A62">
        <v>60</v>
      </c>
      <c r="B62" t="s">
        <v>119</v>
      </c>
      <c r="C62" s="1">
        <v>7</v>
      </c>
      <c r="D62" s="1" t="s">
        <v>62</v>
      </c>
      <c r="E62" s="4">
        <v>65</v>
      </c>
      <c r="F62" s="4">
        <f t="shared" si="0"/>
        <v>455</v>
      </c>
    </row>
    <row r="63" spans="1:6" x14ac:dyDescent="0.25">
      <c r="A63">
        <v>61</v>
      </c>
      <c r="B63" t="s">
        <v>72</v>
      </c>
      <c r="C63" s="1">
        <v>7</v>
      </c>
      <c r="D63" s="1" t="s">
        <v>62</v>
      </c>
      <c r="E63" s="4">
        <v>70</v>
      </c>
      <c r="F63" s="4">
        <f t="shared" si="0"/>
        <v>490</v>
      </c>
    </row>
    <row r="64" spans="1:6" x14ac:dyDescent="0.25">
      <c r="A64">
        <v>62</v>
      </c>
      <c r="B64" t="s">
        <v>125</v>
      </c>
      <c r="C64" s="1">
        <v>20</v>
      </c>
      <c r="D64" s="1" t="s">
        <v>66</v>
      </c>
      <c r="E64" s="4">
        <v>38</v>
      </c>
      <c r="F64" s="4">
        <f t="shared" si="0"/>
        <v>760</v>
      </c>
    </row>
    <row r="65" spans="1:6" x14ac:dyDescent="0.25">
      <c r="A65">
        <v>63</v>
      </c>
      <c r="B65" t="s">
        <v>73</v>
      </c>
      <c r="C65" s="1">
        <v>20</v>
      </c>
      <c r="D65" s="1" t="s">
        <v>62</v>
      </c>
      <c r="E65" s="4">
        <v>25</v>
      </c>
      <c r="F65" s="4">
        <f t="shared" si="0"/>
        <v>500</v>
      </c>
    </row>
    <row r="66" spans="1:6" x14ac:dyDescent="0.25">
      <c r="A66">
        <v>64</v>
      </c>
      <c r="B66" t="s">
        <v>74</v>
      </c>
      <c r="C66" s="1">
        <v>12</v>
      </c>
      <c r="D66" s="1" t="s">
        <v>62</v>
      </c>
      <c r="E66" s="4">
        <v>8.5</v>
      </c>
      <c r="F66" s="4">
        <f t="shared" si="0"/>
        <v>102</v>
      </c>
    </row>
    <row r="67" spans="1:6" x14ac:dyDescent="0.25">
      <c r="A67">
        <v>65</v>
      </c>
      <c r="B67" t="s">
        <v>75</v>
      </c>
      <c r="C67" s="1">
        <v>1</v>
      </c>
      <c r="D67" s="1" t="s">
        <v>48</v>
      </c>
      <c r="E67" s="4">
        <v>60</v>
      </c>
      <c r="F67" s="4">
        <f t="shared" si="0"/>
        <v>60</v>
      </c>
    </row>
    <row r="68" spans="1:6" x14ac:dyDescent="0.25">
      <c r="A68">
        <v>66</v>
      </c>
      <c r="B68" t="s">
        <v>76</v>
      </c>
      <c r="C68" s="1">
        <v>1</v>
      </c>
      <c r="D68" s="1" t="s">
        <v>48</v>
      </c>
      <c r="E68" s="4">
        <v>35</v>
      </c>
      <c r="F68" s="4">
        <f t="shared" ref="F68:F80" si="1">C68*E68</f>
        <v>35</v>
      </c>
    </row>
    <row r="69" spans="1:6" x14ac:dyDescent="0.25">
      <c r="A69">
        <v>67</v>
      </c>
      <c r="B69" t="s">
        <v>120</v>
      </c>
      <c r="C69" s="1">
        <v>2</v>
      </c>
      <c r="D69" s="1" t="s">
        <v>50</v>
      </c>
      <c r="E69" s="4">
        <v>220</v>
      </c>
      <c r="F69" s="4">
        <f t="shared" si="1"/>
        <v>440</v>
      </c>
    </row>
    <row r="70" spans="1:6" x14ac:dyDescent="0.25">
      <c r="A70">
        <v>68</v>
      </c>
      <c r="B70" t="s">
        <v>121</v>
      </c>
      <c r="C70" s="1">
        <v>1</v>
      </c>
      <c r="D70" s="1" t="s">
        <v>38</v>
      </c>
      <c r="E70" s="4">
        <v>12</v>
      </c>
      <c r="F70" s="4">
        <f t="shared" si="1"/>
        <v>12</v>
      </c>
    </row>
    <row r="71" spans="1:6" x14ac:dyDescent="0.25">
      <c r="A71">
        <v>69</v>
      </c>
      <c r="B71" t="s">
        <v>135</v>
      </c>
      <c r="C71" s="1">
        <v>1</v>
      </c>
      <c r="D71" s="1" t="s">
        <v>29</v>
      </c>
      <c r="E71" s="4">
        <v>22</v>
      </c>
      <c r="F71" s="4">
        <f t="shared" si="1"/>
        <v>22</v>
      </c>
    </row>
    <row r="72" spans="1:6" x14ac:dyDescent="0.25">
      <c r="A72">
        <v>70</v>
      </c>
      <c r="B72" t="s">
        <v>134</v>
      </c>
      <c r="C72" s="1">
        <v>2</v>
      </c>
      <c r="D72" s="1" t="s">
        <v>29</v>
      </c>
      <c r="E72" s="4">
        <v>40</v>
      </c>
      <c r="F72" s="4">
        <f t="shared" si="1"/>
        <v>80</v>
      </c>
    </row>
    <row r="73" spans="1:6" x14ac:dyDescent="0.25">
      <c r="A73">
        <v>71</v>
      </c>
      <c r="B73" t="s">
        <v>126</v>
      </c>
      <c r="C73" s="1">
        <v>384</v>
      </c>
      <c r="D73" s="1" t="s">
        <v>29</v>
      </c>
      <c r="E73" s="4">
        <v>23</v>
      </c>
      <c r="F73" s="4">
        <f t="shared" si="1"/>
        <v>8832</v>
      </c>
    </row>
    <row r="74" spans="1:6" x14ac:dyDescent="0.25">
      <c r="A74">
        <v>72</v>
      </c>
      <c r="B74" t="s">
        <v>127</v>
      </c>
      <c r="C74" s="1">
        <v>3</v>
      </c>
      <c r="D74" s="1" t="s">
        <v>23</v>
      </c>
      <c r="E74" s="4">
        <v>650</v>
      </c>
      <c r="F74" s="4">
        <f t="shared" si="1"/>
        <v>1950</v>
      </c>
    </row>
    <row r="75" spans="1:6" x14ac:dyDescent="0.25">
      <c r="A75">
        <v>73</v>
      </c>
      <c r="B75" t="s">
        <v>129</v>
      </c>
      <c r="C75" s="1">
        <v>3</v>
      </c>
      <c r="D75" s="1" t="s">
        <v>23</v>
      </c>
      <c r="E75" s="4">
        <v>700</v>
      </c>
      <c r="F75" s="4">
        <f t="shared" si="1"/>
        <v>2100</v>
      </c>
    </row>
    <row r="76" spans="1:6" x14ac:dyDescent="0.25">
      <c r="A76">
        <v>74</v>
      </c>
      <c r="B76" t="s">
        <v>128</v>
      </c>
      <c r="C76" s="1">
        <v>5</v>
      </c>
      <c r="D76" s="1" t="s">
        <v>23</v>
      </c>
      <c r="E76" s="4">
        <v>650</v>
      </c>
      <c r="F76" s="4">
        <f t="shared" si="1"/>
        <v>3250</v>
      </c>
    </row>
    <row r="77" spans="1:6" x14ac:dyDescent="0.25">
      <c r="A77">
        <v>75</v>
      </c>
      <c r="B77" t="s">
        <v>138</v>
      </c>
      <c r="C77" s="1">
        <v>3</v>
      </c>
      <c r="D77" s="1" t="s">
        <v>23</v>
      </c>
      <c r="E77" s="4">
        <v>950</v>
      </c>
      <c r="F77" s="4">
        <f t="shared" si="1"/>
        <v>2850</v>
      </c>
    </row>
    <row r="78" spans="1:6" x14ac:dyDescent="0.25">
      <c r="A78">
        <v>76</v>
      </c>
      <c r="B78" t="s">
        <v>130</v>
      </c>
      <c r="C78" s="1">
        <v>2</v>
      </c>
      <c r="D78" s="1" t="s">
        <v>25</v>
      </c>
      <c r="E78" s="4">
        <v>180</v>
      </c>
      <c r="F78" s="4">
        <f t="shared" si="1"/>
        <v>360</v>
      </c>
    </row>
    <row r="79" spans="1:6" x14ac:dyDescent="0.25">
      <c r="A79">
        <v>77</v>
      </c>
      <c r="B79" t="s">
        <v>132</v>
      </c>
      <c r="C79" s="1">
        <v>1602</v>
      </c>
      <c r="D79" s="1" t="s">
        <v>33</v>
      </c>
      <c r="E79" s="4">
        <v>3</v>
      </c>
      <c r="F79" s="4">
        <f t="shared" si="1"/>
        <v>4806</v>
      </c>
    </row>
    <row r="80" spans="1:6" x14ac:dyDescent="0.25">
      <c r="A80">
        <v>78</v>
      </c>
      <c r="B80" t="s">
        <v>133</v>
      </c>
      <c r="C80" s="1">
        <v>95</v>
      </c>
      <c r="D80" s="1" t="s">
        <v>70</v>
      </c>
      <c r="E80" s="4">
        <v>2.25</v>
      </c>
      <c r="F80" s="4">
        <f t="shared" si="1"/>
        <v>213.75</v>
      </c>
    </row>
    <row r="81" spans="1:4" x14ac:dyDescent="0.25">
      <c r="A81"/>
      <c r="C81" s="1"/>
      <c r="D81" s="1"/>
    </row>
    <row r="82" spans="1:4" x14ac:dyDescent="0.25">
      <c r="A82"/>
      <c r="C82" s="1"/>
      <c r="D82" s="1"/>
    </row>
    <row r="83" spans="1:4" x14ac:dyDescent="0.25">
      <c r="A83"/>
      <c r="C83" s="1"/>
      <c r="D83" s="1"/>
    </row>
    <row r="84" spans="1:4" x14ac:dyDescent="0.25">
      <c r="A84"/>
      <c r="C84" s="1"/>
      <c r="D84" s="1"/>
    </row>
    <row r="85" spans="1:4" x14ac:dyDescent="0.25">
      <c r="A85"/>
      <c r="C85" s="1"/>
      <c r="D85" s="1"/>
    </row>
    <row r="86" spans="1:4" x14ac:dyDescent="0.25">
      <c r="A86"/>
      <c r="C86" s="1"/>
      <c r="D86" s="1"/>
    </row>
    <row r="87" spans="1:4" x14ac:dyDescent="0.25">
      <c r="A87"/>
      <c r="C87" s="1"/>
      <c r="D87" s="1"/>
    </row>
    <row r="88" spans="1:4" x14ac:dyDescent="0.25">
      <c r="A88"/>
      <c r="C88" s="1"/>
      <c r="D88" s="1"/>
    </row>
    <row r="89" spans="1:4" x14ac:dyDescent="0.25">
      <c r="A89"/>
      <c r="C89" s="1"/>
      <c r="D89" s="1"/>
    </row>
    <row r="90" spans="1:4" x14ac:dyDescent="0.25">
      <c r="A90"/>
      <c r="C90" s="1"/>
      <c r="D90" s="1"/>
    </row>
    <row r="91" spans="1:4" x14ac:dyDescent="0.25">
      <c r="A91"/>
      <c r="C91" s="1"/>
      <c r="D91" s="1"/>
    </row>
    <row r="92" spans="1:4" x14ac:dyDescent="0.25">
      <c r="A92"/>
      <c r="C92" s="1"/>
      <c r="D92" s="1"/>
    </row>
    <row r="93" spans="1:4" x14ac:dyDescent="0.25">
      <c r="A93"/>
      <c r="C93" s="1"/>
      <c r="D93" s="1"/>
    </row>
    <row r="94" spans="1:4" x14ac:dyDescent="0.25">
      <c r="A94"/>
      <c r="C94" s="1"/>
      <c r="D94" s="1"/>
    </row>
    <row r="95" spans="1:4" x14ac:dyDescent="0.25">
      <c r="A95"/>
      <c r="C95" s="1"/>
      <c r="D95" s="1"/>
    </row>
    <row r="96" spans="1:4" x14ac:dyDescent="0.25">
      <c r="A96"/>
      <c r="C96" s="1"/>
      <c r="D96" s="1"/>
    </row>
    <row r="97" spans="1:14" x14ac:dyDescent="0.25">
      <c r="A97"/>
      <c r="C97" s="1"/>
      <c r="D97" s="1"/>
    </row>
    <row r="98" spans="1:14" x14ac:dyDescent="0.25">
      <c r="A98"/>
      <c r="C98" s="1"/>
      <c r="D98" s="1"/>
    </row>
    <row r="99" spans="1:14" x14ac:dyDescent="0.25">
      <c r="A99"/>
      <c r="C99" s="1"/>
      <c r="D99" s="1"/>
    </row>
    <row r="100" spans="1:14" x14ac:dyDescent="0.25">
      <c r="A100"/>
      <c r="C100" s="1"/>
      <c r="D100" s="1"/>
    </row>
    <row r="101" spans="1:14" x14ac:dyDescent="0.25">
      <c r="A101"/>
      <c r="B101" t="s">
        <v>122</v>
      </c>
      <c r="C101" s="1"/>
      <c r="D101" s="1"/>
      <c r="F101" s="4">
        <f>SUM(F3:F99)</f>
        <v>71507.95</v>
      </c>
      <c r="N101">
        <v>72219.25</v>
      </c>
    </row>
  </sheetData>
  <pageMargins left="0.25" right="0.25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Hesin</vt:lpstr>
      <vt:lpstr>Aluminium Materials</vt:lpstr>
      <vt:lpstr>Renovation Materials</vt:lpstr>
      <vt:lpstr>Steel Materials</vt:lpstr>
      <vt:lpstr>Electrical &amp; Accessories</vt:lpstr>
      <vt:lpstr>Doors, Windows &amp; Accessories</vt:lpstr>
      <vt:lpstr>110 Material Surau Al-Ihsan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Din</dc:creator>
  <cp:lastModifiedBy>Pa` Din</cp:lastModifiedBy>
  <cp:lastPrinted>2025-08-31T17:41:50Z</cp:lastPrinted>
  <dcterms:created xsi:type="dcterms:W3CDTF">2015-06-05T18:17:20Z</dcterms:created>
  <dcterms:modified xsi:type="dcterms:W3CDTF">2025-10-24T12:52:37Z</dcterms:modified>
</cp:coreProperties>
</file>